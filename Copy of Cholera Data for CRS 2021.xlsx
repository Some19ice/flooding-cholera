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jerry.pantuvo\Downloads\"/>
    </mc:Choice>
  </mc:AlternateContent>
  <xr:revisionPtr revIDLastSave="0" documentId="8_{7836220A-3EFD-4A11-B9AC-9C22116636ED}" xr6:coauthVersionLast="47" xr6:coauthVersionMax="47" xr10:uidLastSave="{00000000-0000-0000-0000-000000000000}"/>
  <bookViews>
    <workbookView xWindow="-110" yWindow="-110" windowWidth="19420" windowHeight="10420" xr2:uid="{8CCC2D67-5D6B-432D-BD43-1732D5B80F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8" i="1" l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<sst xmlns="http://schemas.openxmlformats.org/spreadsheetml/2006/main" count="1145" uniqueCount="212">
  <si>
    <t>SN</t>
  </si>
  <si>
    <t>Is it a case?</t>
  </si>
  <si>
    <t>Epid No.</t>
  </si>
  <si>
    <t>State</t>
  </si>
  <si>
    <t>LGA</t>
  </si>
  <si>
    <t>Ward</t>
  </si>
  <si>
    <t>Settlement</t>
  </si>
  <si>
    <t>Concawardsettement</t>
  </si>
  <si>
    <t>Age (in years) If greater than 1yr</t>
  </si>
  <si>
    <t>Age group</t>
  </si>
  <si>
    <t>Gender (M/F)</t>
  </si>
  <si>
    <t>Date of Onset
(dd-mmm-yyyy)</t>
  </si>
  <si>
    <t>Epi Week</t>
  </si>
  <si>
    <t>Date Seen at HF
(dd-mmm-yyyy)</t>
  </si>
  <si>
    <t>Reporting Health Facility</t>
  </si>
  <si>
    <t>Inpatient / Outpatient</t>
  </si>
  <si>
    <t>Date of Admission 
(dd-mmm-yyyy)</t>
  </si>
  <si>
    <t>Level of dehydration</t>
  </si>
  <si>
    <t>Specimen taken (Yes/No)</t>
  </si>
  <si>
    <t>Date of Sample Collection
(dd-mmm-yyyy)</t>
  </si>
  <si>
    <t>RDT Result</t>
  </si>
  <si>
    <t>Culture Result</t>
  </si>
  <si>
    <t>Serotype</t>
  </si>
  <si>
    <t>Outcome</t>
  </si>
  <si>
    <t>Date of Death</t>
  </si>
  <si>
    <t>Date of discharge
(dd-mmm-yyyy)</t>
  </si>
  <si>
    <t>Status</t>
  </si>
  <si>
    <t>NIE-CRS-GEP-21-023</t>
  </si>
  <si>
    <t>CRS</t>
  </si>
  <si>
    <t>Yakurr</t>
  </si>
  <si>
    <t xml:space="preserve">Mkpani/Agoi </t>
  </si>
  <si>
    <t>Akugum Aduma</t>
  </si>
  <si>
    <t>&lt;1 year</t>
  </si>
  <si>
    <t>M</t>
  </si>
  <si>
    <t>17/2/2021</t>
  </si>
  <si>
    <t>Mkpani PHC</t>
  </si>
  <si>
    <t>Out patient</t>
  </si>
  <si>
    <t>Moderate</t>
  </si>
  <si>
    <t>N</t>
  </si>
  <si>
    <t>Alive</t>
  </si>
  <si>
    <t>NA</t>
  </si>
  <si>
    <t>NIE-CRS-AKP-21-005</t>
  </si>
  <si>
    <t>Biase</t>
  </si>
  <si>
    <t>Ikun/Etono</t>
  </si>
  <si>
    <t>Ikun</t>
  </si>
  <si>
    <t>31/3/2021</t>
  </si>
  <si>
    <t>Ikun PHC</t>
  </si>
  <si>
    <t>Inpatient</t>
  </si>
  <si>
    <t>No</t>
  </si>
  <si>
    <t>NIE-CRS-AKP-21-010</t>
  </si>
  <si>
    <t>F</t>
  </si>
  <si>
    <t>Yes</t>
  </si>
  <si>
    <t>Negative - No enteric pathogen isolated</t>
  </si>
  <si>
    <t>NIE-CRS-AKP-21-001</t>
  </si>
  <si>
    <t>22/3/2021</t>
  </si>
  <si>
    <t>Died</t>
  </si>
  <si>
    <t>DEAD</t>
  </si>
  <si>
    <t>NIE-CRS-AKP-21-008</t>
  </si>
  <si>
    <t>NIE-CRS-GEP-21-016</t>
  </si>
  <si>
    <t>Ijiman Agoi Ekpo</t>
  </si>
  <si>
    <t>13/2/2021</t>
  </si>
  <si>
    <t>Agoi Ekpo PHC</t>
  </si>
  <si>
    <t>ModerateN</t>
  </si>
  <si>
    <t>NIE-CRS-CAL-21-004</t>
  </si>
  <si>
    <t xml:space="preserve"> CAL MUNICIPAL</t>
  </si>
  <si>
    <t>IKOT ANSA</t>
  </si>
  <si>
    <t>PARLIMENTARY</t>
  </si>
  <si>
    <t>31/10/21</t>
  </si>
  <si>
    <t>NNRH</t>
  </si>
  <si>
    <t>IN PATIENT</t>
  </si>
  <si>
    <t>ALIVE</t>
  </si>
  <si>
    <t>O</t>
  </si>
  <si>
    <t>RECOVERED</t>
  </si>
  <si>
    <t>NIE-CRS-GEP-21-005</t>
  </si>
  <si>
    <t>NIE-CRS-GEP-21-003</t>
  </si>
  <si>
    <t>NIE-CRS-GEP-21-008</t>
  </si>
  <si>
    <t>NIE-CRS-GEP-21-017</t>
  </si>
  <si>
    <t>NIE-CRS-GEP-21-019</t>
  </si>
  <si>
    <t>14/2/2021</t>
  </si>
  <si>
    <t>Positive for Salmonella</t>
  </si>
  <si>
    <t>NIE-CRS-GEP-21-001</t>
  </si>
  <si>
    <t>NIE-CRS-GEP-21-018</t>
  </si>
  <si>
    <t>NIE-CRS-GEP-21-020</t>
  </si>
  <si>
    <t>m</t>
  </si>
  <si>
    <t>Moderate N</t>
  </si>
  <si>
    <t>NIE-CRS-GEP-21-021</t>
  </si>
  <si>
    <t>NIE-CRS-AKP-21-002</t>
  </si>
  <si>
    <t>1-5years</t>
  </si>
  <si>
    <t>25/3/2021</t>
  </si>
  <si>
    <t>NIE-CRS-AKP-21-004</t>
  </si>
  <si>
    <t>29/3/2021</t>
  </si>
  <si>
    <t>NIE-CRS-AKP-21-006</t>
  </si>
  <si>
    <t>NIE-CRS-AKP-21-007</t>
  </si>
  <si>
    <t>NIE-CRS-GEP-21-009</t>
  </si>
  <si>
    <t>NIE-CRS-GEP-21-013</t>
  </si>
  <si>
    <t>NIE-CRS-GEP-21-030</t>
  </si>
  <si>
    <t>Ajere</t>
  </si>
  <si>
    <t>NIE-CRS-GEP-21-031</t>
  </si>
  <si>
    <t>Okom-Ajere</t>
  </si>
  <si>
    <t>NIE-CRS-BKS-21-001</t>
  </si>
  <si>
    <t>BAKASSI</t>
  </si>
  <si>
    <t>IKANG</t>
  </si>
  <si>
    <t>OKONIKI FP</t>
  </si>
  <si>
    <t>29/10/21</t>
  </si>
  <si>
    <t>30/10/21</t>
  </si>
  <si>
    <t>FIRST CONTACT            IN PATIENT</t>
  </si>
  <si>
    <t>MODERATE</t>
  </si>
  <si>
    <t>NIE-CRS-AKP-21-009</t>
  </si>
  <si>
    <t>NIE-CRS-GEP-21-004</t>
  </si>
  <si>
    <t>NIE-CRS-GEP-21-010</t>
  </si>
  <si>
    <t>NIE-CRS-GEP-21-012</t>
  </si>
  <si>
    <t>NIE-CRS-GEP-21-015</t>
  </si>
  <si>
    <t>NIE-CRS-GEP-21-026</t>
  </si>
  <si>
    <t>Afaben</t>
  </si>
  <si>
    <t>NIE-CRS-AKP-21-003</t>
  </si>
  <si>
    <t>24/3/2021</t>
  </si>
  <si>
    <t>NIE-CRS-CAL-21-001</t>
  </si>
  <si>
    <t>CAL MUNICIPAL</t>
  </si>
  <si>
    <t>IKOT OMIN</t>
  </si>
  <si>
    <t>8 MILES</t>
  </si>
  <si>
    <t>29/10/2021</t>
  </si>
  <si>
    <t>NIE-CRS-GEP-21-014</t>
  </si>
  <si>
    <t>NIE-CRS-GEP-21-027</t>
  </si>
  <si>
    <t>Obioko</t>
  </si>
  <si>
    <t>NIE-CRS-CAL-21-003</t>
  </si>
  <si>
    <t>AKIM</t>
  </si>
  <si>
    <t>IBB WAY</t>
  </si>
  <si>
    <t>31/11/21</t>
  </si>
  <si>
    <t xml:space="preserve">ALIVE </t>
  </si>
  <si>
    <t>NIE-CRS-BKS-21-004</t>
  </si>
  <si>
    <t>HINO FISHING PORT</t>
  </si>
  <si>
    <t>FIRST CONTACT</t>
  </si>
  <si>
    <t>Y</t>
  </si>
  <si>
    <t>Neg</t>
  </si>
  <si>
    <t>NIE-CRS-GEP-21-049</t>
  </si>
  <si>
    <t>YAKURR</t>
  </si>
  <si>
    <t>INYIMA/EKPETI</t>
  </si>
  <si>
    <t>BA EKPARA</t>
  </si>
  <si>
    <t>6-10years</t>
  </si>
  <si>
    <t>19/5/21</t>
  </si>
  <si>
    <t>PHC INYIMA</t>
  </si>
  <si>
    <t>OUT PATIENT</t>
  </si>
  <si>
    <t>NIE-CRS-GEP-21-052</t>
  </si>
  <si>
    <t>20/5/21</t>
  </si>
  <si>
    <t>NIE-CRS-GEP-21-025</t>
  </si>
  <si>
    <t>NIE-CRS-CAL-21-006</t>
  </si>
  <si>
    <t>DIAMOND</t>
  </si>
  <si>
    <t>DIAMOND ROAD</t>
  </si>
  <si>
    <t>NIE-CRS-GEP-21-051</t>
  </si>
  <si>
    <t>11-15years</t>
  </si>
  <si>
    <t>NIE-CRS-GEP-21-022</t>
  </si>
  <si>
    <t>15/2/2021</t>
  </si>
  <si>
    <t>NIE-CRS-GEP-21-048</t>
  </si>
  <si>
    <t>18/5/21</t>
  </si>
  <si>
    <t>NIE-CRS-GEP-21-028</t>
  </si>
  <si>
    <t>leboikom</t>
  </si>
  <si>
    <t>NIE-CRS-GEP-21-039</t>
  </si>
  <si>
    <t>BA EKPOTO</t>
  </si>
  <si>
    <t>17/5/21</t>
  </si>
  <si>
    <t>NIE-CRS-GEP-21-029</t>
  </si>
  <si>
    <t>Afeben</t>
  </si>
  <si>
    <t>NIE-CRS-BKS-21-005</t>
  </si>
  <si>
    <t>HOSPITAL ROAD</t>
  </si>
  <si>
    <t>SEVERE</t>
  </si>
  <si>
    <t>POS</t>
  </si>
  <si>
    <t>awaiting</t>
  </si>
  <si>
    <t>NIE-CRS-GEP-21-041</t>
  </si>
  <si>
    <t>NIE-CRS-GEP-21-046</t>
  </si>
  <si>
    <t>NIE-CRS-GEP-21-002</t>
  </si>
  <si>
    <t>16-20years</t>
  </si>
  <si>
    <t>NIE-CRS-BKS-21-002</t>
  </si>
  <si>
    <t>AUTHORITY FP</t>
  </si>
  <si>
    <t>FIRST CONTACT              PATIENT</t>
  </si>
  <si>
    <t>NIE-CRS-GEP-21-038</t>
  </si>
  <si>
    <t>NIE-CRS-GEP-21-044</t>
  </si>
  <si>
    <t>NIE-CRS-GEP-21-042</t>
  </si>
  <si>
    <t>NIE-CRS-GEP-21-047</t>
  </si>
  <si>
    <t>21-25years</t>
  </si>
  <si>
    <t>NIE-CRS-CAL-21-005</t>
  </si>
  <si>
    <t>EDIM OTOP</t>
  </si>
  <si>
    <t>ABA STREET, CAL</t>
  </si>
  <si>
    <t>NIE-CRS-GEP-21-032</t>
  </si>
  <si>
    <t>NIE-CRS-GEP-21-045</t>
  </si>
  <si>
    <t>26-30years</t>
  </si>
  <si>
    <t>NIE-CRS-GEP-21-053</t>
  </si>
  <si>
    <t>NIE-CRS-GEP-21-034</t>
  </si>
  <si>
    <t>BA ESORGOR</t>
  </si>
  <si>
    <t>NIE-CRS-GEP-21-006</t>
  </si>
  <si>
    <t>NIE-CRS-GEP-21-007</t>
  </si>
  <si>
    <t>NIE-CRS-GEP-21-011</t>
  </si>
  <si>
    <t xml:space="preserve">Moderate </t>
  </si>
  <si>
    <t>NIE-CRS-GEP-21-040</t>
  </si>
  <si>
    <t>31-35years</t>
  </si>
  <si>
    <t>NIE-CRS-GEP-21-054</t>
  </si>
  <si>
    <t>NIE-CRS-BKS-21-003</t>
  </si>
  <si>
    <t>NIE-CRS-GEP-21-050</t>
  </si>
  <si>
    <t>40-45years</t>
  </si>
  <si>
    <t>NIE-CRS-CAL-21-002</t>
  </si>
  <si>
    <t>EDIBA</t>
  </si>
  <si>
    <t>WATER BOARD</t>
  </si>
  <si>
    <t>NIE-CRS-GEP-21-024</t>
  </si>
  <si>
    <t>18/2/2021</t>
  </si>
  <si>
    <t>19/2/2021</t>
  </si>
  <si>
    <t>Positive for  Vibro Cholerae</t>
  </si>
  <si>
    <t>NIE-CRS-GEP-21-033</t>
  </si>
  <si>
    <t>16/5/21</t>
  </si>
  <si>
    <t>NIE-CRS-GEP-21-036</t>
  </si>
  <si>
    <t>NIE-CRS-GEP-21-037</t>
  </si>
  <si>
    <t>NIE-CRS-GEP-21-035</t>
  </si>
  <si>
    <t>&gt;45years</t>
  </si>
  <si>
    <t>NIE-CRS-GEP-21-043</t>
  </si>
  <si>
    <t>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</si>
</sst>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F800]dddd\,\ mmmm\ dd\,\ yyyy"/>
    <numFmt numFmtId="165" formatCode="dd\-mmm\-yyyy"/>
  </numFmts>
  <fonts count="10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theme="1"/>
      <name val="Calibri"/>
      <charset val="134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sz val="11"/>
      <color rgb="FF0D0D0D"/>
      <name val="Calibri"/>
      <family val="2"/>
    </font>
    <font>
      <b/>
      <sz val="11"/>
      <color rgb="FF0D0D0D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right" vertical="center" wrapText="1"/>
    </xf>
    <xf numFmtId="165" fontId="1" fillId="0" borderId="1" xfId="0" applyNumberFormat="1" applyFont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Border="1"/>
    <xf numFmtId="0" fontId="3" fillId="3" borderId="1" xfId="0" applyFont="1" applyFill="1" applyBorder="1"/>
    <xf numFmtId="0" fontId="4" fillId="3" borderId="1" xfId="0" applyFont="1" applyFill="1" applyBorder="1"/>
    <xf numFmtId="0" fontId="2" fillId="3" borderId="1" xfId="0" applyFont="1" applyFill="1" applyBorder="1"/>
    <xf numFmtId="0" fontId="4" fillId="0" borderId="1" xfId="0" applyFont="1" applyBorder="1"/>
    <xf numFmtId="14" fontId="4" fillId="0" borderId="1" xfId="0" applyNumberFormat="1" applyFont="1" applyBorder="1" applyAlignment="1">
      <alignment horizontal="right" vertical="center"/>
    </xf>
    <xf numFmtId="14" fontId="4" fillId="3" borderId="1" xfId="0" applyNumberFormat="1" applyFont="1" applyFill="1" applyBorder="1"/>
    <xf numFmtId="14" fontId="3" fillId="3" borderId="1" xfId="0" applyNumberFormat="1" applyFont="1" applyFill="1" applyBorder="1"/>
    <xf numFmtId="14" fontId="4" fillId="2" borderId="1" xfId="0" applyNumberFormat="1" applyFont="1" applyFill="1" applyBorder="1" applyAlignment="1">
      <alignment horizontal="right"/>
    </xf>
    <xf numFmtId="0" fontId="4" fillId="3" borderId="2" xfId="0" applyFont="1" applyFill="1" applyBorder="1"/>
    <xf numFmtId="0" fontId="2" fillId="3" borderId="3" xfId="0" applyFont="1" applyFill="1" applyBorder="1"/>
    <xf numFmtId="14" fontId="4" fillId="0" borderId="1" xfId="0" applyNumberFormat="1" applyFont="1" applyBorder="1" applyAlignment="1">
      <alignment horizontal="right"/>
    </xf>
    <xf numFmtId="14" fontId="4" fillId="0" borderId="1" xfId="0" applyNumberFormat="1" applyFont="1" applyBorder="1"/>
    <xf numFmtId="0" fontId="4" fillId="0" borderId="2" xfId="0" applyFont="1" applyBorder="1"/>
    <xf numFmtId="0" fontId="4" fillId="3" borderId="3" xfId="0" applyFont="1" applyFill="1" applyBorder="1"/>
    <xf numFmtId="0" fontId="5" fillId="3" borderId="1" xfId="0" applyFont="1" applyFill="1" applyBorder="1"/>
    <xf numFmtId="0" fontId="6" fillId="0" borderId="1" xfId="0" applyFont="1" applyBorder="1"/>
    <xf numFmtId="14" fontId="6" fillId="0" borderId="1" xfId="0" applyNumberFormat="1" applyFont="1" applyBorder="1" applyAlignment="1">
      <alignment horizontal="right" vertical="center"/>
    </xf>
    <xf numFmtId="14" fontId="6" fillId="0" borderId="1" xfId="0" applyNumberFormat="1" applyFont="1" applyBorder="1" applyAlignment="1">
      <alignment horizontal="right"/>
    </xf>
    <xf numFmtId="0" fontId="6" fillId="3" borderId="1" xfId="0" applyFont="1" applyFill="1" applyBorder="1"/>
    <xf numFmtId="14" fontId="6" fillId="0" borderId="1" xfId="0" applyNumberFormat="1" applyFont="1" applyBorder="1"/>
    <xf numFmtId="0" fontId="7" fillId="0" borderId="2" xfId="0" applyFont="1" applyBorder="1"/>
    <xf numFmtId="0" fontId="3" fillId="0" borderId="1" xfId="0" applyFont="1" applyBorder="1"/>
    <xf numFmtId="14" fontId="4" fillId="3" borderId="1" xfId="0" applyNumberFormat="1" applyFont="1" applyFill="1" applyBorder="1" applyAlignment="1">
      <alignment horizontal="right" vertical="center"/>
    </xf>
    <xf numFmtId="14" fontId="2" fillId="3" borderId="1" xfId="0" applyNumberFormat="1" applyFont="1" applyFill="1" applyBorder="1" applyAlignment="1">
      <alignment horizontal="right" vertical="center"/>
    </xf>
    <xf numFmtId="14" fontId="2" fillId="3" borderId="1" xfId="0" applyNumberFormat="1" applyFont="1" applyFill="1" applyBorder="1"/>
    <xf numFmtId="14" fontId="2" fillId="2" borderId="1" xfId="0" applyNumberFormat="1" applyFont="1" applyFill="1" applyBorder="1" applyAlignment="1">
      <alignment horizontal="right"/>
    </xf>
    <xf numFmtId="0" fontId="2" fillId="3" borderId="2" xfId="0" applyFont="1" applyFill="1" applyBorder="1"/>
    <xf numFmtId="0" fontId="4" fillId="0" borderId="0" xfId="0" applyFont="1"/>
    <xf numFmtId="0" fontId="7" fillId="0" borderId="1" xfId="0" applyFont="1" applyBorder="1"/>
    <xf numFmtId="0" fontId="6" fillId="0" borderId="0" xfId="0" applyFont="1"/>
    <xf numFmtId="0" fontId="4" fillId="0" borderId="1" xfId="0" applyFont="1" applyBorder="1" applyAlignment="1">
      <alignment horizontal="right"/>
    </xf>
    <xf numFmtId="0" fontId="8" fillId="0" borderId="1" xfId="0" applyFont="1" applyBorder="1"/>
    <xf numFmtId="0" fontId="9" fillId="3" borderId="1" xfId="0" applyFont="1" applyFill="1" applyBorder="1"/>
    <xf numFmtId="14" fontId="8" fillId="0" borderId="1" xfId="0" applyNumberFormat="1" applyFont="1" applyBorder="1" applyAlignment="1">
      <alignment horizontal="right"/>
    </xf>
    <xf numFmtId="14" fontId="8" fillId="0" borderId="1" xfId="0" applyNumberFormat="1" applyFont="1" applyBorder="1"/>
    <xf numFmtId="0" fontId="8" fillId="0" borderId="2" xfId="0" applyFont="1" applyBorder="1"/>
    <xf numFmtId="0" fontId="6" fillId="0" borderId="2" xfId="0" applyFont="1" applyBorder="1"/>
    <xf numFmtId="0" fontId="1" fillId="3" borderId="1" xfId="0" applyFont="1" applyFill="1" applyBorder="1"/>
    <xf numFmtId="0" fontId="2" fillId="0" borderId="0" xfId="0" applyFont="1"/>
    <xf numFmtId="0" fontId="8" fillId="0" borderId="0" xfId="0" applyFont="1"/>
    <xf numFmtId="0" fontId="2" fillId="0" borderId="4" xfId="0" applyFont="1" applyBorder="1"/>
    <xf numFmtId="0" fontId="2" fillId="0" borderId="5" xfId="0" applyFont="1" applyBorder="1"/>
  </cellXfs>
  <cellStyles count="1">
    <cellStyle name="Normal" xfId="0" builtinId="0"/>
  </cellStyles>
  <dxfs count="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none"/>
      </font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none"/>
      </font>
      <fill>
        <patternFill patternType="none">
          <fgColor rgb="FF000000"/>
          <bgColor rgb="FFFF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none"/>
      </font>
      <fill>
        <patternFill patternType="none">
          <fgColor rgb="FF000000"/>
          <bgColor rgb="FFFF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none"/>
      </font>
      <fill>
        <patternFill patternType="none">
          <fgColor rgb="FF000000"/>
          <bgColor rgb="FFFF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none"/>
      </font>
      <fill>
        <patternFill patternType="none">
          <fgColor rgb="FF000000"/>
          <bgColor rgb="FFFF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none"/>
      </font>
      <fill>
        <patternFill patternType="none">
          <fgColor rgb="FF000000"/>
          <bgColor rgb="FFFF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none"/>
      </font>
      <fill>
        <patternFill patternType="none">
          <fgColor rgb="FF000000"/>
          <bgColor rgb="FFFF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none"/>
      </font>
      <fill>
        <patternFill patternType="none">
          <fgColor rgb="FF000000"/>
          <bgColor rgb="FFFF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none"/>
      </font>
      <numFmt numFmtId="19" formatCode="dd/mm/yyyy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none"/>
      </font>
      <fill>
        <patternFill patternType="none">
          <fgColor rgb="FF000000"/>
          <bgColor rgb="FFFF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none"/>
      </font>
      <fill>
        <patternFill patternType="none">
          <fgColor rgb="FF000000"/>
          <bgColor rgb="FFFF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none"/>
      </font>
      <fill>
        <patternFill patternType="none">
          <fgColor rgb="FF000000"/>
          <bgColor rgb="FFFF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none">
          <fgColor rgb="FF000000"/>
          <bgColor rgb="FFFF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none">
          <fgColor rgb="FF000000"/>
          <bgColor rgb="FFFF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none"/>
      </font>
      <fill>
        <patternFill patternType="none">
          <fgColor rgb="FF000000"/>
          <bgColor rgb="FFFF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right style="thin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none"/>
      </font>
      <fill>
        <patternFill patternType="none">
          <fgColor rgb="FF000000"/>
          <bgColor rgb="FFFFFFFF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ill>
        <patternFill patternType="solid">
          <fgColor rgb="FFFACFC2"/>
          <bgColor rgb="FFFACFC2"/>
        </patternFill>
      </fill>
    </dxf>
    <dxf>
      <fill>
        <patternFill patternType="solid">
          <fgColor rgb="FFFACFC2"/>
          <bgColor rgb="FFFACFC2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A5300F"/>
        </top>
      </border>
    </dxf>
    <dxf>
      <font>
        <b/>
        <color rgb="FFFFFFFF"/>
      </font>
      <fill>
        <patternFill patternType="solid">
          <fgColor rgb="FFA5300F"/>
          <bgColor rgb="FFA5300F"/>
        </patternFill>
      </fill>
    </dxf>
    <dxf>
      <font>
        <color rgb="FF000000"/>
      </font>
      <border>
        <left style="thin">
          <color rgb="FFEE704A"/>
        </left>
        <right style="thin">
          <color rgb="FFEE704A"/>
        </right>
        <top style="thin">
          <color rgb="FFEE704A"/>
        </top>
        <bottom style="thin">
          <color rgb="FFEE704A"/>
        </bottom>
        <horizontal style="thin">
          <color rgb="FFEE704A"/>
        </horizontal>
      </border>
    </dxf>
  </dxfs>
  <tableStyles count="1" defaultTableStyle="TableStyleMedium2" defaultPivotStyle="PivotStyleLight16">
    <tableStyle name="TableStyleMedium2 2" pivot="0" count="7" xr9:uid="{CA4620E1-77B4-443A-8C9A-485E985EC88C}">
      <tableStyleElement type="wholeTable" dxfId="31"/>
      <tableStyleElement type="headerRow" dxfId="30"/>
      <tableStyleElement type="totalRow" dxfId="29"/>
      <tableStyleElement type="firstColumn" dxfId="28"/>
      <tableStyleElement type="lastColumn" dxfId="27"/>
      <tableStyleElement type="firstRowStripe" dxfId="26"/>
      <tableStyleElement type="firstColumnStripe" dxfId="2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24900B-E7E5-4FFF-B3E6-AD813A1A8E73}" name="Table1" displayName="Table1" ref="A1:AA78" totalsRowShown="0" dataDxfId="22" tableBorderDxfId="21">
  <autoFilter ref="A1:AA78" xr:uid="{FB24900B-E7E5-4FFF-B3E6-AD813A1A8E73}"/>
  <tableColumns count="27">
    <tableColumn id="1" xr3:uid="{E42BA904-A8D4-4A90-8CDE-E7D61B96BB31}" name="SN"/>
    <tableColumn id="27" xr3:uid="{0473BCC7-0EDE-44B1-B4D2-AA140E6DE89C}" name="Is it a case?"/>
    <tableColumn id="2" xr3:uid="{8FB6469F-5726-433F-8CC1-55209C3E4E9C}" name="Epid No." dataDxfId="20"/>
    <tableColumn id="3" xr3:uid="{6F96C887-5185-4EA4-8BF7-DAE9086FE157}" name="State" dataDxfId="19"/>
    <tableColumn id="4" xr3:uid="{AB58B27D-6BE3-4711-91E0-C735C2B111A5}" name="LGA" dataDxfId="18"/>
    <tableColumn id="5" xr3:uid="{7DB7EF48-DC32-4B79-A55E-3FD8259454B8}" name="Ward" dataDxfId="17"/>
    <tableColumn id="6" xr3:uid="{5330BCBF-4685-4ADE-AE17-7E0B18996B6F}" name="Settlement" dataDxfId="16"/>
    <tableColumn id="28" xr3:uid="{3B6CF88E-6650-482A-B264-6EC609E1C815}" name="Concawardsettement" dataDxfId="15">
      <calculatedColumnFormula>CONCATENATE(Table1[[#This Row],[LGA]],Table1[[#This Row],[Ward]],Table1[[#This Row],[Settlement]])</calculatedColumnFormula>
    </tableColumn>
    <tableColumn id="9" xr3:uid="{2DCE5E1A-5290-4EC0-916F-17DA0FE68EC9}" name="Age (in years) If greater than 1yr" dataDxfId="14"/>
    <tableColumn id="29" xr3:uid="{D8A7B9BE-4AF6-4A1E-AF4A-BC7B3F0ED891}" name="Age group" dataDxfId="13"/>
    <tableColumn id="10" xr3:uid="{CF142DF7-9CE4-478B-B035-911930E6A098}" name="Gender (M/F)" dataDxfId="12"/>
    <tableColumn id="11" xr3:uid="{D8CCE478-8343-430C-A4FA-0E3F92FB0BF0}" name="Date of Onset_x000a_(dd-mmm-yyyy)"/>
    <tableColumn id="12" xr3:uid="{18DA2BFC-5F73-4BD8-A871-C03D2D242256}" name="Epi Week" dataDxfId="11"/>
    <tableColumn id="13" xr3:uid="{1C818474-9FC1-4071-B0C6-5155A5525C4E}" name="Date Seen at HF_x000a_(dd-mmm-yyyy)" dataDxfId="10"/>
    <tableColumn id="14" xr3:uid="{2AA896FC-7698-46A4-80E0-480EF141513C}" name="Reporting Health Facility" dataDxfId="9"/>
    <tableColumn id="15" xr3:uid="{C5C5A151-1C49-4ED4-966C-A1945FC08AD1}" name="Inpatient / Outpatient" dataDxfId="8"/>
    <tableColumn id="16" xr3:uid="{5DD7166F-EE40-49E8-9610-F265BD3F4AD4}" name="Date of Admission _x000a_(dd-mmm-yyyy)"/>
    <tableColumn id="17" xr3:uid="{2598A532-AE0E-4EB5-89BF-4D39FEB3A55A}" name="Level of dehydration" dataDxfId="7"/>
    <tableColumn id="18" xr3:uid="{BA75A472-A2F8-411F-8F60-A721D183891F}" name="Specimen taken (Yes/No)" dataDxfId="6"/>
    <tableColumn id="19" xr3:uid="{0D3FC8A5-EF76-4EE1-90E4-F6E3F431D9E9}" name="Date of Sample Collection_x000a_(dd-mmm-yyyy)"/>
    <tableColumn id="20" xr3:uid="{46777B9A-3366-4FEB-9F8D-1CBFADD10B00}" name="RDT Result" dataDxfId="5"/>
    <tableColumn id="21" xr3:uid="{ED43E323-57AB-4B37-BDAF-B2F9A8EA0D1D}" name="Culture Result" dataDxfId="4"/>
    <tableColumn id="22" xr3:uid="{90B2F15D-653E-424C-9FDF-A9540A11E5E2}" name="Serotype" dataDxfId="3"/>
    <tableColumn id="23" xr3:uid="{AC520ADA-627F-4633-BAE1-91797F768A51}" name="Outcome" dataDxfId="2"/>
    <tableColumn id="24" xr3:uid="{02F8570C-1040-45F4-AB8B-398CCB68A001}" name="Date of Death" dataDxfId="1"/>
    <tableColumn id="25" xr3:uid="{8F5F0A7C-4CF5-4104-93F3-02B0163624A9}" name="Date of discharge_x000a_(dd-mmm-yyyy)"/>
    <tableColumn id="26" xr3:uid="{56DEC171-2029-4A3A-A678-CCDF1C0B6BE6}" name="Status" dataDxfId="0"/>
  </tableColumns>
  <tableStyleInfo name="TableStyleMedium2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3A609-BEAF-4671-A067-725E20198D22}">
  <dimension ref="A1:AB137"/>
  <sheetViews>
    <sheetView tabSelected="1" topLeftCell="E1" zoomScale="113" zoomScaleNormal="113" workbookViewId="0">
      <selection activeCell="D4" sqref="D4"/>
    </sheetView>
  </sheetViews>
  <sheetFormatPr defaultColWidth="9" defaultRowHeight="14.5"/>
  <cols>
    <col min="1" max="2" width="9" style="37"/>
    <col min="3" max="3" width="26" style="37" customWidth="1"/>
    <col min="4" max="4" width="17.453125" style="37" customWidth="1"/>
    <col min="5" max="5" width="20" style="37" customWidth="1"/>
    <col min="6" max="6" width="21.81640625" style="37" customWidth="1"/>
    <col min="7" max="7" width="20.81640625" style="37" customWidth="1"/>
    <col min="8" max="8" width="35.81640625" style="37" customWidth="1"/>
    <col min="9" max="10" width="32.1796875" style="37" customWidth="1"/>
    <col min="11" max="11" width="15.453125" style="37" customWidth="1"/>
    <col min="12" max="12" width="14.54296875" style="37" customWidth="1"/>
    <col min="13" max="13" width="11.54296875" style="37" customWidth="1"/>
    <col min="14" max="14" width="18.1796875" style="37" customWidth="1"/>
    <col min="15" max="15" width="25.1796875" style="37" customWidth="1"/>
    <col min="16" max="16" width="22.54296875" style="37" customWidth="1"/>
    <col min="17" max="17" width="19" style="37" customWidth="1"/>
    <col min="18" max="18" width="21.453125" style="37" customWidth="1"/>
    <col min="19" max="19" width="25.7265625" style="37" customWidth="1"/>
    <col min="20" max="20" width="14.54296875" style="37" customWidth="1"/>
    <col min="21" max="21" width="13" style="37" customWidth="1"/>
    <col min="22" max="22" width="30.1796875" style="37" customWidth="1"/>
    <col min="23" max="23" width="11.1796875" style="37" customWidth="1"/>
    <col min="24" max="24" width="11.26953125" style="37" customWidth="1"/>
    <col min="25" max="25" width="15.7265625" style="37" customWidth="1"/>
    <col min="26" max="26" width="20.81640625" style="37" customWidth="1"/>
    <col min="27" max="27" width="17.453125" style="37" customWidth="1"/>
    <col min="28" max="16384" width="9" style="37"/>
  </cols>
  <sheetData>
    <row r="1" spans="1:28" s="3" customFormat="1" ht="43.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2" t="s">
        <v>12</v>
      </c>
      <c r="N1" s="5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6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6" t="s">
        <v>24</v>
      </c>
      <c r="Z1" s="7" t="s">
        <v>25</v>
      </c>
      <c r="AA1" s="8" t="s">
        <v>26</v>
      </c>
    </row>
    <row r="2" spans="1:28" s="12" customFormat="1" ht="34.5" customHeight="1">
      <c r="A2" s="9">
        <v>33</v>
      </c>
      <c r="B2" s="9">
        <v>1</v>
      </c>
      <c r="C2" s="10" t="s">
        <v>27</v>
      </c>
      <c r="D2" s="11" t="s">
        <v>28</v>
      </c>
      <c r="E2" s="11" t="s">
        <v>29</v>
      </c>
      <c r="F2" s="12" t="s">
        <v>30</v>
      </c>
      <c r="G2" s="12" t="s">
        <v>31</v>
      </c>
      <c r="H2" s="12" t="str">
        <f>CONCATENATE(Table1[[#This Row],[LGA]],Table1[[#This Row],[Ward]],Table1[[#This Row],[Settlement]])</f>
        <v>YakurrMkpani/Agoi Akugum Aduma</v>
      </c>
      <c r="I2" s="13">
        <v>0.25</v>
      </c>
      <c r="J2" s="13" t="s">
        <v>32</v>
      </c>
      <c r="K2" s="13" t="s">
        <v>33</v>
      </c>
      <c r="L2" s="14" t="s">
        <v>34</v>
      </c>
      <c r="M2" s="11">
        <v>7</v>
      </c>
      <c r="N2" s="14" t="s">
        <v>34</v>
      </c>
      <c r="O2" s="11" t="s">
        <v>35</v>
      </c>
      <c r="P2" s="11" t="s">
        <v>36</v>
      </c>
      <c r="Q2" s="14"/>
      <c r="R2" s="11" t="s">
        <v>37</v>
      </c>
      <c r="S2" s="11" t="s">
        <v>38</v>
      </c>
      <c r="T2" s="15"/>
      <c r="U2" s="11">
        <v>0</v>
      </c>
      <c r="V2" s="11">
        <v>0</v>
      </c>
      <c r="W2" s="11">
        <v>0</v>
      </c>
      <c r="X2" s="13" t="s">
        <v>39</v>
      </c>
      <c r="Y2" s="16" t="s">
        <v>40</v>
      </c>
      <c r="Z2" s="17"/>
      <c r="AA2" s="18"/>
      <c r="AB2" s="19"/>
    </row>
    <row r="3" spans="1:28" s="11" customFormat="1" ht="26.25" customHeight="1">
      <c r="A3" s="9">
        <v>5</v>
      </c>
      <c r="B3" s="9">
        <v>1</v>
      </c>
      <c r="C3" s="10" t="s">
        <v>41</v>
      </c>
      <c r="D3" s="13" t="s">
        <v>28</v>
      </c>
      <c r="E3" s="13" t="s">
        <v>42</v>
      </c>
      <c r="F3" s="9" t="s">
        <v>43</v>
      </c>
      <c r="G3" s="9" t="s">
        <v>44</v>
      </c>
      <c r="H3" s="9" t="str">
        <f>CONCATENATE(Table1[[#This Row],[LGA]],Table1[[#This Row],[Ward]],Table1[[#This Row],[Settlement]])</f>
        <v>BiaseIkun/EtonoIkun</v>
      </c>
      <c r="I3" s="13">
        <v>0.3</v>
      </c>
      <c r="J3" s="13" t="s">
        <v>32</v>
      </c>
      <c r="K3" s="13" t="s">
        <v>33</v>
      </c>
      <c r="L3" s="14" t="s">
        <v>45</v>
      </c>
      <c r="M3" s="13">
        <v>13</v>
      </c>
      <c r="N3" s="20">
        <v>44259</v>
      </c>
      <c r="O3" s="13" t="s">
        <v>46</v>
      </c>
      <c r="P3" s="11" t="s">
        <v>47</v>
      </c>
      <c r="Q3" s="20">
        <v>44259</v>
      </c>
      <c r="R3" s="13" t="s">
        <v>37</v>
      </c>
      <c r="S3" s="13" t="s">
        <v>48</v>
      </c>
      <c r="T3" s="21"/>
      <c r="U3" s="13">
        <v>0</v>
      </c>
      <c r="V3" s="13">
        <v>0</v>
      </c>
      <c r="W3" s="13">
        <v>0</v>
      </c>
      <c r="X3" s="13" t="s">
        <v>39</v>
      </c>
      <c r="Y3" s="16" t="s">
        <v>40</v>
      </c>
      <c r="Z3" s="20"/>
      <c r="AA3" s="22"/>
      <c r="AB3" s="23"/>
    </row>
    <row r="4" spans="1:28" s="11" customFormat="1" ht="32.25" customHeight="1">
      <c r="A4" s="9">
        <v>10</v>
      </c>
      <c r="B4" s="9">
        <v>1</v>
      </c>
      <c r="C4" s="10" t="s">
        <v>49</v>
      </c>
      <c r="D4" s="13" t="s">
        <v>28</v>
      </c>
      <c r="E4" s="13" t="s">
        <v>42</v>
      </c>
      <c r="F4" s="9" t="s">
        <v>43</v>
      </c>
      <c r="G4" s="9" t="s">
        <v>44</v>
      </c>
      <c r="H4" s="9" t="str">
        <f>CONCATENATE(Table1[[#This Row],[LGA]],Table1[[#This Row],[Ward]],Table1[[#This Row],[Settlement]])</f>
        <v>BiaseIkun/EtonoIkun</v>
      </c>
      <c r="I4" s="13">
        <v>0.57999999999999996</v>
      </c>
      <c r="J4" s="13" t="s">
        <v>32</v>
      </c>
      <c r="K4" s="13" t="s">
        <v>50</v>
      </c>
      <c r="L4" s="14">
        <v>44320</v>
      </c>
      <c r="M4" s="13">
        <v>14</v>
      </c>
      <c r="N4" s="14">
        <v>44320</v>
      </c>
      <c r="O4" s="13" t="s">
        <v>46</v>
      </c>
      <c r="P4" s="11" t="s">
        <v>47</v>
      </c>
      <c r="Q4" s="14">
        <v>44320</v>
      </c>
      <c r="R4" s="13" t="s">
        <v>37</v>
      </c>
      <c r="S4" s="13" t="s">
        <v>51</v>
      </c>
      <c r="T4" s="21">
        <v>44351</v>
      </c>
      <c r="U4" s="13"/>
      <c r="V4" s="13" t="s">
        <v>52</v>
      </c>
      <c r="W4" s="13">
        <v>0</v>
      </c>
      <c r="X4" s="13" t="s">
        <v>39</v>
      </c>
      <c r="Y4" s="16" t="s">
        <v>40</v>
      </c>
      <c r="Z4" s="20"/>
      <c r="AA4" s="22"/>
      <c r="AB4" s="23"/>
    </row>
    <row r="5" spans="1:28" s="11" customFormat="1" ht="28.5" customHeight="1">
      <c r="A5" s="9">
        <v>1</v>
      </c>
      <c r="B5" s="9">
        <v>1</v>
      </c>
      <c r="C5" s="24" t="s">
        <v>53</v>
      </c>
      <c r="D5" s="25" t="s">
        <v>28</v>
      </c>
      <c r="E5" s="25" t="s">
        <v>42</v>
      </c>
      <c r="F5" s="25" t="s">
        <v>43</v>
      </c>
      <c r="G5" s="25" t="s">
        <v>44</v>
      </c>
      <c r="H5" s="25" t="str">
        <f>CONCATENATE(Table1[[#This Row],[LGA]],Table1[[#This Row],[Ward]],Table1[[#This Row],[Settlement]])</f>
        <v>BiaseIkun/EtonoIkun</v>
      </c>
      <c r="I5" s="25">
        <v>0.7</v>
      </c>
      <c r="J5" s="13" t="s">
        <v>32</v>
      </c>
      <c r="K5" s="25" t="s">
        <v>33</v>
      </c>
      <c r="L5" s="26" t="s">
        <v>54</v>
      </c>
      <c r="M5" s="25">
        <v>12</v>
      </c>
      <c r="N5" s="27" t="s">
        <v>54</v>
      </c>
      <c r="O5" s="25" t="s">
        <v>46</v>
      </c>
      <c r="P5" s="28" t="s">
        <v>47</v>
      </c>
      <c r="Q5" s="27" t="s">
        <v>54</v>
      </c>
      <c r="R5" s="25" t="s">
        <v>37</v>
      </c>
      <c r="S5" s="25" t="s">
        <v>48</v>
      </c>
      <c r="T5" s="29"/>
      <c r="U5" s="25">
        <v>0</v>
      </c>
      <c r="V5" s="25">
        <v>0</v>
      </c>
      <c r="W5" s="25">
        <v>0</v>
      </c>
      <c r="X5" s="25" t="s">
        <v>55</v>
      </c>
      <c r="Y5" s="16"/>
      <c r="Z5" s="20"/>
      <c r="AA5" s="30" t="s">
        <v>56</v>
      </c>
      <c r="AB5" s="23"/>
    </row>
    <row r="6" spans="1:28" s="12" customFormat="1" ht="28.5" customHeight="1">
      <c r="A6" s="9">
        <v>8</v>
      </c>
      <c r="B6" s="9">
        <v>1</v>
      </c>
      <c r="C6" s="10" t="s">
        <v>57</v>
      </c>
      <c r="D6" s="13" t="s">
        <v>28</v>
      </c>
      <c r="E6" s="13" t="s">
        <v>42</v>
      </c>
      <c r="F6" s="9" t="s">
        <v>43</v>
      </c>
      <c r="G6" s="9" t="s">
        <v>44</v>
      </c>
      <c r="H6" s="9" t="str">
        <f>CONCATENATE(Table1[[#This Row],[LGA]],Table1[[#This Row],[Ward]],Table1[[#This Row],[Settlement]])</f>
        <v>BiaseIkun/EtonoIkun</v>
      </c>
      <c r="I6" s="13">
        <v>0.7</v>
      </c>
      <c r="J6" s="13" t="s">
        <v>32</v>
      </c>
      <c r="K6" s="13" t="s">
        <v>33</v>
      </c>
      <c r="L6" s="14">
        <v>44259</v>
      </c>
      <c r="M6" s="13">
        <v>13</v>
      </c>
      <c r="N6" s="14">
        <v>44320</v>
      </c>
      <c r="O6" s="13" t="s">
        <v>46</v>
      </c>
      <c r="P6" s="11" t="s">
        <v>47</v>
      </c>
      <c r="Q6" s="14">
        <v>44320</v>
      </c>
      <c r="R6" s="13" t="s">
        <v>37</v>
      </c>
      <c r="S6" s="13" t="s">
        <v>48</v>
      </c>
      <c r="T6" s="21"/>
      <c r="U6" s="13">
        <v>0</v>
      </c>
      <c r="V6" s="13">
        <v>0</v>
      </c>
      <c r="W6" s="13">
        <v>0</v>
      </c>
      <c r="X6" s="13" t="s">
        <v>39</v>
      </c>
      <c r="Y6" s="16" t="s">
        <v>40</v>
      </c>
      <c r="Z6" s="20"/>
      <c r="AA6" s="22"/>
      <c r="AB6" s="19"/>
    </row>
    <row r="7" spans="1:28" s="11" customFormat="1" ht="34.5" customHeight="1">
      <c r="A7" s="9">
        <v>26</v>
      </c>
      <c r="B7" s="9">
        <v>1</v>
      </c>
      <c r="C7" s="10" t="s">
        <v>58</v>
      </c>
      <c r="D7" s="10" t="s">
        <v>28</v>
      </c>
      <c r="E7" s="10" t="s">
        <v>29</v>
      </c>
      <c r="F7" s="10" t="s">
        <v>30</v>
      </c>
      <c r="G7" s="10" t="s">
        <v>59</v>
      </c>
      <c r="H7" s="10" t="str">
        <f>CONCATENATE(Table1[[#This Row],[LGA]],Table1[[#This Row],[Ward]],Table1[[#This Row],[Settlement]])</f>
        <v>YakurrMkpani/Agoi Ijiman Agoi Ekpo</v>
      </c>
      <c r="I7" s="31">
        <v>0.7</v>
      </c>
      <c r="J7" s="13" t="s">
        <v>32</v>
      </c>
      <c r="K7" s="31" t="s">
        <v>33</v>
      </c>
      <c r="L7" s="32" t="s">
        <v>60</v>
      </c>
      <c r="M7" s="10"/>
      <c r="N7" s="32" t="s">
        <v>60</v>
      </c>
      <c r="O7" s="10" t="s">
        <v>61</v>
      </c>
      <c r="P7" s="10" t="s">
        <v>47</v>
      </c>
      <c r="Q7" s="32" t="s">
        <v>60</v>
      </c>
      <c r="R7" s="11" t="s">
        <v>62</v>
      </c>
      <c r="S7" s="10" t="s">
        <v>38</v>
      </c>
      <c r="T7" s="16">
        <v>0</v>
      </c>
      <c r="U7" s="10">
        <v>0</v>
      </c>
      <c r="V7" s="10">
        <v>0</v>
      </c>
      <c r="W7" s="10">
        <v>0</v>
      </c>
      <c r="X7" s="13" t="s">
        <v>39</v>
      </c>
      <c r="Y7" s="16" t="s">
        <v>40</v>
      </c>
      <c r="Z7" s="17">
        <v>44240</v>
      </c>
      <c r="AA7" s="18"/>
      <c r="AB7" s="23"/>
    </row>
    <row r="8" spans="1:28" s="11" customFormat="1" ht="33" customHeight="1">
      <c r="A8" s="9">
        <v>72</v>
      </c>
      <c r="B8" s="9">
        <v>1</v>
      </c>
      <c r="C8" s="10" t="s">
        <v>63</v>
      </c>
      <c r="D8" s="13" t="s">
        <v>28</v>
      </c>
      <c r="E8" s="13" t="s">
        <v>64</v>
      </c>
      <c r="F8" s="9" t="s">
        <v>65</v>
      </c>
      <c r="G8" s="9" t="s">
        <v>66</v>
      </c>
      <c r="H8" s="9" t="str">
        <f>CONCATENATE(Table1[[#This Row],[LGA]],Table1[[#This Row],[Ward]],Table1[[#This Row],[Settlement]])</f>
        <v xml:space="preserve"> CAL MUNICIPALIKOT ANSAPARLIMENTARY</v>
      </c>
      <c r="I8" s="13">
        <v>0.7</v>
      </c>
      <c r="J8" s="13" t="s">
        <v>32</v>
      </c>
      <c r="K8" s="13" t="s">
        <v>33</v>
      </c>
      <c r="L8" s="20" t="s">
        <v>67</v>
      </c>
      <c r="M8" s="13">
        <v>43</v>
      </c>
      <c r="N8" s="27">
        <v>44207</v>
      </c>
      <c r="O8" s="13" t="s">
        <v>68</v>
      </c>
      <c r="P8" s="13" t="s">
        <v>69</v>
      </c>
      <c r="Q8" s="20">
        <v>44207</v>
      </c>
      <c r="R8" s="13"/>
      <c r="S8" s="13" t="s">
        <v>38</v>
      </c>
      <c r="T8" s="21"/>
      <c r="U8" s="13">
        <v>0</v>
      </c>
      <c r="V8" s="13">
        <v>0</v>
      </c>
      <c r="W8" s="13">
        <v>0</v>
      </c>
      <c r="X8" s="13" t="s">
        <v>70</v>
      </c>
      <c r="Y8" s="13" t="s">
        <v>71</v>
      </c>
      <c r="Z8" s="20">
        <v>44358</v>
      </c>
      <c r="AA8" s="22" t="s">
        <v>72</v>
      </c>
      <c r="AB8" s="23"/>
    </row>
    <row r="9" spans="1:28" s="11" customFormat="1" ht="44.25" customHeight="1">
      <c r="A9" s="9">
        <v>15</v>
      </c>
      <c r="B9" s="9">
        <v>1</v>
      </c>
      <c r="C9" s="10" t="s">
        <v>73</v>
      </c>
      <c r="D9" s="12" t="s">
        <v>28</v>
      </c>
      <c r="E9" s="12" t="s">
        <v>29</v>
      </c>
      <c r="F9" s="12" t="s">
        <v>30</v>
      </c>
      <c r="G9" s="12" t="s">
        <v>31</v>
      </c>
      <c r="H9" s="12" t="str">
        <f>CONCATENATE(Table1[[#This Row],[LGA]],Table1[[#This Row],[Ward]],Table1[[#This Row],[Settlement]])</f>
        <v>YakurrMkpani/Agoi Akugum Aduma</v>
      </c>
      <c r="I9" s="12">
        <v>0.75</v>
      </c>
      <c r="J9" s="13" t="s">
        <v>32</v>
      </c>
      <c r="K9" s="12" t="s">
        <v>33</v>
      </c>
      <c r="L9" s="33">
        <v>44410</v>
      </c>
      <c r="M9" s="12">
        <v>6</v>
      </c>
      <c r="N9" s="33">
        <v>44410</v>
      </c>
      <c r="O9" s="12" t="s">
        <v>35</v>
      </c>
      <c r="P9" s="12" t="s">
        <v>36</v>
      </c>
      <c r="Q9" s="33"/>
      <c r="R9" s="12" t="s">
        <v>37</v>
      </c>
      <c r="S9" s="12" t="s">
        <v>38</v>
      </c>
      <c r="T9" s="34">
        <v>0</v>
      </c>
      <c r="U9" s="12"/>
      <c r="V9" s="12">
        <v>0</v>
      </c>
      <c r="W9" s="12">
        <v>0</v>
      </c>
      <c r="X9" s="13" t="s">
        <v>39</v>
      </c>
      <c r="Y9" s="16" t="s">
        <v>40</v>
      </c>
      <c r="Z9" s="35"/>
      <c r="AA9" s="36"/>
      <c r="AB9" s="23"/>
    </row>
    <row r="10" spans="1:28" s="11" customFormat="1" ht="22.5" customHeight="1">
      <c r="A10" s="9">
        <v>13</v>
      </c>
      <c r="B10" s="9">
        <v>1</v>
      </c>
      <c r="C10" s="10" t="s">
        <v>74</v>
      </c>
      <c r="D10" s="12" t="s">
        <v>28</v>
      </c>
      <c r="E10" s="12" t="s">
        <v>29</v>
      </c>
      <c r="F10" s="12" t="s">
        <v>30</v>
      </c>
      <c r="G10" s="12" t="s">
        <v>31</v>
      </c>
      <c r="H10" s="12" t="str">
        <f>CONCATENATE(Table1[[#This Row],[LGA]],Table1[[#This Row],[Ward]],Table1[[#This Row],[Settlement]])</f>
        <v>YakurrMkpani/Agoi Akugum Aduma</v>
      </c>
      <c r="I10" s="11">
        <v>0.83</v>
      </c>
      <c r="J10" s="13" t="s">
        <v>32</v>
      </c>
      <c r="K10" s="12" t="s">
        <v>33</v>
      </c>
      <c r="L10" s="33">
        <v>44379</v>
      </c>
      <c r="M10" s="11">
        <v>6</v>
      </c>
      <c r="N10" s="33">
        <v>44379</v>
      </c>
      <c r="O10" s="11" t="s">
        <v>61</v>
      </c>
      <c r="P10" s="11" t="s">
        <v>47</v>
      </c>
      <c r="Q10" s="33">
        <v>44379</v>
      </c>
      <c r="R10" s="11" t="s">
        <v>37</v>
      </c>
      <c r="S10" s="11" t="s">
        <v>38</v>
      </c>
      <c r="T10" s="15">
        <v>0</v>
      </c>
      <c r="U10" s="11">
        <v>0</v>
      </c>
      <c r="V10" s="11">
        <v>0</v>
      </c>
      <c r="W10" s="11">
        <v>0</v>
      </c>
      <c r="X10" s="13" t="s">
        <v>39</v>
      </c>
      <c r="Y10" s="16" t="s">
        <v>40</v>
      </c>
      <c r="Z10" s="35">
        <v>44235</v>
      </c>
      <c r="AA10" s="18"/>
      <c r="AB10" s="23"/>
    </row>
    <row r="11" spans="1:28" s="11" customFormat="1" ht="17.25" customHeight="1">
      <c r="A11" s="9">
        <v>18</v>
      </c>
      <c r="B11" s="9">
        <v>1</v>
      </c>
      <c r="C11" s="10" t="s">
        <v>75</v>
      </c>
      <c r="D11" s="11" t="s">
        <v>28</v>
      </c>
      <c r="E11" s="11" t="s">
        <v>29</v>
      </c>
      <c r="F11" s="12" t="s">
        <v>30</v>
      </c>
      <c r="G11" s="12" t="s">
        <v>59</v>
      </c>
      <c r="H11" s="12" t="str">
        <f>CONCATENATE(Table1[[#This Row],[LGA]],Table1[[#This Row],[Ward]],Table1[[#This Row],[Settlement]])</f>
        <v>YakurrMkpani/Agoi Ijiman Agoi Ekpo</v>
      </c>
      <c r="I11" s="11">
        <v>0.83</v>
      </c>
      <c r="J11" s="13" t="s">
        <v>32</v>
      </c>
      <c r="K11" s="11" t="s">
        <v>33</v>
      </c>
      <c r="L11" s="32">
        <v>44441</v>
      </c>
      <c r="M11" s="11">
        <v>6</v>
      </c>
      <c r="N11" s="32">
        <v>44441</v>
      </c>
      <c r="O11" s="11" t="s">
        <v>61</v>
      </c>
      <c r="P11" s="11" t="s">
        <v>47</v>
      </c>
      <c r="Q11" s="32">
        <v>44441</v>
      </c>
      <c r="R11" s="11" t="s">
        <v>37</v>
      </c>
      <c r="S11" s="11" t="s">
        <v>38</v>
      </c>
      <c r="T11" s="15">
        <v>0</v>
      </c>
      <c r="U11" s="11">
        <v>0</v>
      </c>
      <c r="V11" s="11">
        <v>0</v>
      </c>
      <c r="W11" s="11">
        <v>0</v>
      </c>
      <c r="X11" s="13" t="s">
        <v>39</v>
      </c>
      <c r="Y11" s="16" t="s">
        <v>40</v>
      </c>
      <c r="Z11" s="17">
        <v>44238</v>
      </c>
      <c r="AA11" s="18"/>
      <c r="AB11" s="23"/>
    </row>
    <row r="12" spans="1:28" s="11" customFormat="1" ht="17.25" customHeight="1">
      <c r="A12" s="9">
        <v>27</v>
      </c>
      <c r="B12" s="9">
        <v>1</v>
      </c>
      <c r="C12" s="10" t="s">
        <v>76</v>
      </c>
      <c r="D12" s="11" t="s">
        <v>28</v>
      </c>
      <c r="E12" s="11" t="s">
        <v>29</v>
      </c>
      <c r="F12" s="12" t="s">
        <v>30</v>
      </c>
      <c r="G12" s="12" t="s">
        <v>59</v>
      </c>
      <c r="H12" s="12" t="str">
        <f>CONCATENATE(Table1[[#This Row],[LGA]],Table1[[#This Row],[Ward]],Table1[[#This Row],[Settlement]])</f>
        <v>YakurrMkpani/Agoi Ijiman Agoi Ekpo</v>
      </c>
      <c r="I12" s="13">
        <v>0.83</v>
      </c>
      <c r="J12" s="13" t="s">
        <v>32</v>
      </c>
      <c r="K12" s="13" t="s">
        <v>33</v>
      </c>
      <c r="L12" s="32" t="s">
        <v>60</v>
      </c>
      <c r="M12" s="11">
        <v>6</v>
      </c>
      <c r="N12" s="32" t="s">
        <v>60</v>
      </c>
      <c r="O12" s="11" t="s">
        <v>61</v>
      </c>
      <c r="P12" s="11" t="s">
        <v>47</v>
      </c>
      <c r="Q12" s="32" t="s">
        <v>60</v>
      </c>
      <c r="R12" s="11" t="s">
        <v>37</v>
      </c>
      <c r="S12" s="11" t="s">
        <v>38</v>
      </c>
      <c r="T12" s="15">
        <v>0</v>
      </c>
      <c r="U12" s="11">
        <v>0</v>
      </c>
      <c r="V12" s="11">
        <v>0</v>
      </c>
      <c r="W12" s="11">
        <v>0</v>
      </c>
      <c r="X12" s="13" t="s">
        <v>39</v>
      </c>
      <c r="Y12" s="16" t="s">
        <v>40</v>
      </c>
      <c r="Z12" s="17">
        <v>44240</v>
      </c>
      <c r="AA12" s="18"/>
      <c r="AB12" s="23"/>
    </row>
    <row r="13" spans="1:28" s="11" customFormat="1" ht="22.5" customHeight="1">
      <c r="A13" s="9">
        <v>29</v>
      </c>
      <c r="B13" s="9">
        <v>0</v>
      </c>
      <c r="C13" s="10" t="s">
        <v>77</v>
      </c>
      <c r="D13" s="11" t="s">
        <v>28</v>
      </c>
      <c r="E13" s="11" t="s">
        <v>29</v>
      </c>
      <c r="F13" s="12" t="s">
        <v>30</v>
      </c>
      <c r="G13" s="12" t="s">
        <v>59</v>
      </c>
      <c r="H13" s="12" t="str">
        <f>CONCATENATE(Table1[[#This Row],[LGA]],Table1[[#This Row],[Ward]],Table1[[#This Row],[Settlement]])</f>
        <v>YakurrMkpani/Agoi Ijiman Agoi Ekpo</v>
      </c>
      <c r="I13" s="13">
        <v>0.83</v>
      </c>
      <c r="J13" s="13" t="s">
        <v>32</v>
      </c>
      <c r="K13" s="13" t="s">
        <v>50</v>
      </c>
      <c r="L13" s="32" t="s">
        <v>78</v>
      </c>
      <c r="M13" s="11">
        <v>7</v>
      </c>
      <c r="N13" s="32" t="s">
        <v>78</v>
      </c>
      <c r="O13" s="11" t="s">
        <v>61</v>
      </c>
      <c r="P13" s="11" t="s">
        <v>47</v>
      </c>
      <c r="Q13" s="32" t="s">
        <v>78</v>
      </c>
      <c r="R13" s="11" t="s">
        <v>37</v>
      </c>
      <c r="S13" s="11" t="s">
        <v>38</v>
      </c>
      <c r="T13" s="21">
        <v>44246</v>
      </c>
      <c r="U13" s="11">
        <v>0</v>
      </c>
      <c r="V13" s="13" t="s">
        <v>79</v>
      </c>
      <c r="W13" s="11">
        <v>0</v>
      </c>
      <c r="X13" s="13" t="s">
        <v>39</v>
      </c>
      <c r="Y13" s="16" t="s">
        <v>40</v>
      </c>
      <c r="Z13" s="17">
        <v>44241</v>
      </c>
      <c r="AA13" s="18"/>
      <c r="AB13" s="23"/>
    </row>
    <row r="14" spans="1:28" s="11" customFormat="1" ht="32.25" customHeight="1">
      <c r="A14" s="9">
        <v>11</v>
      </c>
      <c r="B14" s="9">
        <v>1</v>
      </c>
      <c r="C14" s="10" t="s">
        <v>80</v>
      </c>
      <c r="D14" s="10" t="s">
        <v>28</v>
      </c>
      <c r="E14" s="10" t="s">
        <v>29</v>
      </c>
      <c r="F14" s="10" t="s">
        <v>30</v>
      </c>
      <c r="G14" s="10" t="s">
        <v>59</v>
      </c>
      <c r="H14" s="10" t="str">
        <f>CONCATENATE(Table1[[#This Row],[LGA]],Table1[[#This Row],[Ward]],Table1[[#This Row],[Settlement]])</f>
        <v>YakurrMkpani/Agoi Ijiman Agoi Ekpo</v>
      </c>
      <c r="I14" s="10">
        <v>0.9</v>
      </c>
      <c r="J14" s="13" t="s">
        <v>32</v>
      </c>
      <c r="K14" s="10" t="s">
        <v>50</v>
      </c>
      <c r="L14" s="33">
        <v>44379</v>
      </c>
      <c r="M14" s="10">
        <v>6</v>
      </c>
      <c r="N14" s="33">
        <v>44379</v>
      </c>
      <c r="O14" s="10" t="s">
        <v>61</v>
      </c>
      <c r="P14" s="10" t="s">
        <v>47</v>
      </c>
      <c r="Q14" s="33">
        <v>44379</v>
      </c>
      <c r="R14" s="10" t="s">
        <v>37</v>
      </c>
      <c r="S14" s="10" t="s">
        <v>38</v>
      </c>
      <c r="T14" s="16">
        <v>0</v>
      </c>
      <c r="U14" s="10">
        <v>0</v>
      </c>
      <c r="V14" s="10">
        <v>0</v>
      </c>
      <c r="W14" s="10">
        <v>0</v>
      </c>
      <c r="X14" s="13" t="s">
        <v>39</v>
      </c>
      <c r="Y14" s="16" t="s">
        <v>40</v>
      </c>
      <c r="Z14" s="35">
        <v>44235</v>
      </c>
      <c r="AA14" s="36"/>
      <c r="AB14" s="23"/>
    </row>
    <row r="15" spans="1:28" s="11" customFormat="1" ht="29.25" customHeight="1">
      <c r="A15" s="9">
        <v>28</v>
      </c>
      <c r="B15" s="9">
        <v>1</v>
      </c>
      <c r="C15" s="10" t="s">
        <v>81</v>
      </c>
      <c r="D15" s="11" t="s">
        <v>28</v>
      </c>
      <c r="E15" s="11" t="s">
        <v>29</v>
      </c>
      <c r="F15" s="12" t="s">
        <v>30</v>
      </c>
      <c r="G15" s="12" t="s">
        <v>59</v>
      </c>
      <c r="H15" s="12" t="str">
        <f>CONCATENATE(Table1[[#This Row],[LGA]],Table1[[#This Row],[Ward]],Table1[[#This Row],[Settlement]])</f>
        <v>YakurrMkpani/Agoi Ijiman Agoi Ekpo</v>
      </c>
      <c r="I15" s="13">
        <v>0.9</v>
      </c>
      <c r="J15" s="13" t="s">
        <v>32</v>
      </c>
      <c r="K15" s="13" t="s">
        <v>33</v>
      </c>
      <c r="L15" s="32" t="s">
        <v>78</v>
      </c>
      <c r="M15" s="11">
        <v>7</v>
      </c>
      <c r="N15" s="32" t="s">
        <v>78</v>
      </c>
      <c r="O15" s="11" t="s">
        <v>61</v>
      </c>
      <c r="P15" s="11" t="s">
        <v>47</v>
      </c>
      <c r="Q15" s="32" t="s">
        <v>78</v>
      </c>
      <c r="R15" s="11" t="s">
        <v>37</v>
      </c>
      <c r="S15" s="11" t="s">
        <v>38</v>
      </c>
      <c r="T15" s="15">
        <v>0</v>
      </c>
      <c r="U15" s="11">
        <v>0</v>
      </c>
      <c r="V15" s="11">
        <v>0</v>
      </c>
      <c r="W15" s="11">
        <v>0</v>
      </c>
      <c r="X15" s="13" t="s">
        <v>39</v>
      </c>
      <c r="Y15" s="16" t="s">
        <v>40</v>
      </c>
      <c r="Z15" s="17">
        <v>44242</v>
      </c>
      <c r="AA15" s="18"/>
      <c r="AB15" s="23"/>
    </row>
    <row r="16" spans="1:28" s="11" customFormat="1" ht="27.75" customHeight="1">
      <c r="A16" s="9">
        <v>30</v>
      </c>
      <c r="B16" s="9">
        <v>1</v>
      </c>
      <c r="C16" s="10" t="s">
        <v>82</v>
      </c>
      <c r="D16" s="11" t="s">
        <v>28</v>
      </c>
      <c r="E16" s="11" t="s">
        <v>29</v>
      </c>
      <c r="F16" s="12" t="s">
        <v>30</v>
      </c>
      <c r="G16" s="12" t="s">
        <v>59</v>
      </c>
      <c r="H16" s="12" t="str">
        <f>CONCATENATE(Table1[[#This Row],[LGA]],Table1[[#This Row],[Ward]],Table1[[#This Row],[Settlement]])</f>
        <v>YakurrMkpani/Agoi Ijiman Agoi Ekpo</v>
      </c>
      <c r="I16" s="13">
        <v>0.9</v>
      </c>
      <c r="J16" s="13" t="s">
        <v>32</v>
      </c>
      <c r="K16" s="13" t="s">
        <v>83</v>
      </c>
      <c r="L16" s="32" t="s">
        <v>78</v>
      </c>
      <c r="M16" s="11">
        <v>7</v>
      </c>
      <c r="N16" s="32" t="s">
        <v>78</v>
      </c>
      <c r="O16" s="11" t="s">
        <v>61</v>
      </c>
      <c r="P16" s="11" t="s">
        <v>47</v>
      </c>
      <c r="Q16" s="32" t="s">
        <v>78</v>
      </c>
      <c r="R16" s="11" t="s">
        <v>84</v>
      </c>
      <c r="T16" s="15"/>
      <c r="U16" s="11">
        <v>0</v>
      </c>
      <c r="V16" s="11">
        <v>0</v>
      </c>
      <c r="W16" s="11">
        <v>0</v>
      </c>
      <c r="X16" s="13" t="s">
        <v>39</v>
      </c>
      <c r="Y16" s="16" t="s">
        <v>40</v>
      </c>
      <c r="Z16" s="17">
        <v>44241</v>
      </c>
      <c r="AA16" s="18"/>
      <c r="AB16" s="23"/>
    </row>
    <row r="17" spans="1:28" s="11" customFormat="1" ht="15" customHeight="1">
      <c r="A17" s="9">
        <v>31</v>
      </c>
      <c r="B17" s="9">
        <v>1</v>
      </c>
      <c r="C17" s="10" t="s">
        <v>85</v>
      </c>
      <c r="D17" s="11" t="s">
        <v>28</v>
      </c>
      <c r="E17" s="11" t="s">
        <v>29</v>
      </c>
      <c r="F17" s="12" t="s">
        <v>30</v>
      </c>
      <c r="G17" s="12" t="s">
        <v>59</v>
      </c>
      <c r="H17" s="12" t="str">
        <f>CONCATENATE(Table1[[#This Row],[LGA]],Table1[[#This Row],[Ward]],Table1[[#This Row],[Settlement]])</f>
        <v>YakurrMkpani/Agoi Ijiman Agoi Ekpo</v>
      </c>
      <c r="I17" s="13">
        <v>0.9</v>
      </c>
      <c r="J17" s="13" t="s">
        <v>32</v>
      </c>
      <c r="K17" s="13" t="s">
        <v>33</v>
      </c>
      <c r="L17" s="32" t="s">
        <v>78</v>
      </c>
      <c r="M17" s="11">
        <v>7</v>
      </c>
      <c r="N17" s="32" t="s">
        <v>78</v>
      </c>
      <c r="O17" s="11" t="s">
        <v>61</v>
      </c>
      <c r="P17" s="11" t="s">
        <v>47</v>
      </c>
      <c r="Q17" s="32" t="s">
        <v>78</v>
      </c>
      <c r="R17" s="11" t="s">
        <v>84</v>
      </c>
      <c r="T17" s="15"/>
      <c r="U17" s="11">
        <v>0</v>
      </c>
      <c r="V17" s="11">
        <v>0</v>
      </c>
      <c r="W17" s="11">
        <v>0</v>
      </c>
      <c r="X17" s="13" t="s">
        <v>39</v>
      </c>
      <c r="Y17" s="16" t="s">
        <v>40</v>
      </c>
      <c r="Z17" s="17">
        <v>44241</v>
      </c>
      <c r="AA17" s="18"/>
      <c r="AB17" s="23"/>
    </row>
    <row r="18" spans="1:28" s="11" customFormat="1" ht="27" customHeight="1">
      <c r="A18" s="9">
        <v>2</v>
      </c>
      <c r="B18" s="9">
        <v>1</v>
      </c>
      <c r="C18" s="10" t="s">
        <v>86</v>
      </c>
      <c r="D18" s="13" t="s">
        <v>28</v>
      </c>
      <c r="E18" s="13" t="s">
        <v>42</v>
      </c>
      <c r="F18" s="9" t="s">
        <v>43</v>
      </c>
      <c r="G18" s="9" t="s">
        <v>44</v>
      </c>
      <c r="H18" s="9" t="str">
        <f>CONCATENATE(Table1[[#This Row],[LGA]],Table1[[#This Row],[Ward]],Table1[[#This Row],[Settlement]])</f>
        <v>BiaseIkun/EtonoIkun</v>
      </c>
      <c r="I18" s="13">
        <v>1</v>
      </c>
      <c r="J18" s="13" t="s">
        <v>87</v>
      </c>
      <c r="K18" s="13" t="s">
        <v>33</v>
      </c>
      <c r="L18" s="14" t="s">
        <v>88</v>
      </c>
      <c r="M18" s="13">
        <v>12</v>
      </c>
      <c r="N18" s="20" t="s">
        <v>88</v>
      </c>
      <c r="O18" s="13" t="s">
        <v>46</v>
      </c>
      <c r="P18" s="11" t="s">
        <v>47</v>
      </c>
      <c r="Q18" s="20" t="s">
        <v>88</v>
      </c>
      <c r="R18" s="13" t="s">
        <v>37</v>
      </c>
      <c r="S18" s="13" t="s">
        <v>48</v>
      </c>
      <c r="T18" s="21"/>
      <c r="U18" s="13">
        <v>0</v>
      </c>
      <c r="V18" s="13">
        <v>0</v>
      </c>
      <c r="W18" s="13">
        <v>0</v>
      </c>
      <c r="X18" s="13" t="s">
        <v>39</v>
      </c>
      <c r="Y18" s="16" t="s">
        <v>40</v>
      </c>
      <c r="Z18" s="20"/>
      <c r="AA18" s="22"/>
      <c r="AB18" s="23"/>
    </row>
    <row r="19" spans="1:28" s="11" customFormat="1" ht="25.5" customHeight="1">
      <c r="A19" s="9">
        <v>4</v>
      </c>
      <c r="B19" s="9">
        <v>1</v>
      </c>
      <c r="C19" s="10" t="s">
        <v>89</v>
      </c>
      <c r="D19" s="13" t="s">
        <v>28</v>
      </c>
      <c r="E19" s="13" t="s">
        <v>42</v>
      </c>
      <c r="F19" s="9" t="s">
        <v>43</v>
      </c>
      <c r="G19" s="9" t="s">
        <v>44</v>
      </c>
      <c r="H19" s="9" t="str">
        <f>CONCATENATE(Table1[[#This Row],[LGA]],Table1[[#This Row],[Ward]],Table1[[#This Row],[Settlement]])</f>
        <v>BiaseIkun/EtonoIkun</v>
      </c>
      <c r="I19" s="13">
        <v>1</v>
      </c>
      <c r="J19" s="13" t="s">
        <v>87</v>
      </c>
      <c r="K19" s="13" t="s">
        <v>50</v>
      </c>
      <c r="L19" s="14" t="s">
        <v>90</v>
      </c>
      <c r="M19" s="13">
        <v>13</v>
      </c>
      <c r="N19" s="20">
        <v>44231</v>
      </c>
      <c r="O19" s="13" t="s">
        <v>46</v>
      </c>
      <c r="P19" s="13" t="s">
        <v>36</v>
      </c>
      <c r="Q19" s="20"/>
      <c r="R19" s="13" t="s">
        <v>37</v>
      </c>
      <c r="S19" s="13" t="s">
        <v>48</v>
      </c>
      <c r="T19" s="21"/>
      <c r="U19" s="13">
        <v>0</v>
      </c>
      <c r="V19" s="13">
        <v>0</v>
      </c>
      <c r="W19" s="13">
        <v>0</v>
      </c>
      <c r="X19" s="13" t="s">
        <v>39</v>
      </c>
      <c r="Y19" s="16" t="s">
        <v>40</v>
      </c>
      <c r="Z19" s="20"/>
      <c r="AA19" s="22"/>
      <c r="AB19" s="23"/>
    </row>
    <row r="20" spans="1:28" s="11" customFormat="1" ht="21" customHeight="1">
      <c r="A20" s="9">
        <v>6</v>
      </c>
      <c r="B20" s="9">
        <v>1</v>
      </c>
      <c r="C20" s="10" t="s">
        <v>91</v>
      </c>
      <c r="D20" s="13" t="s">
        <v>28</v>
      </c>
      <c r="E20" s="13" t="s">
        <v>42</v>
      </c>
      <c r="F20" s="9" t="s">
        <v>43</v>
      </c>
      <c r="G20" s="9" t="s">
        <v>44</v>
      </c>
      <c r="H20" s="9" t="str">
        <f>CONCATENATE(Table1[[#This Row],[LGA]],Table1[[#This Row],[Ward]],Table1[[#This Row],[Settlement]])</f>
        <v>BiaseIkun/EtonoIkun</v>
      </c>
      <c r="I20" s="13">
        <v>1</v>
      </c>
      <c r="J20" s="13" t="s">
        <v>87</v>
      </c>
      <c r="K20" s="13" t="s">
        <v>33</v>
      </c>
      <c r="L20" s="14">
        <v>44259</v>
      </c>
      <c r="M20" s="13">
        <v>13</v>
      </c>
      <c r="N20" s="14">
        <v>44320</v>
      </c>
      <c r="O20" s="13" t="s">
        <v>46</v>
      </c>
      <c r="P20" s="13" t="s">
        <v>36</v>
      </c>
      <c r="Q20" s="20"/>
      <c r="R20" s="13" t="s">
        <v>37</v>
      </c>
      <c r="S20" s="13" t="s">
        <v>48</v>
      </c>
      <c r="T20" s="21"/>
      <c r="U20" s="13">
        <v>0</v>
      </c>
      <c r="V20" s="13">
        <v>0</v>
      </c>
      <c r="W20" s="13">
        <v>0</v>
      </c>
      <c r="X20" s="13" t="s">
        <v>39</v>
      </c>
      <c r="Y20" s="16" t="s">
        <v>40</v>
      </c>
      <c r="Z20" s="20"/>
      <c r="AA20" s="22"/>
      <c r="AB20" s="23"/>
    </row>
    <row r="21" spans="1:28" s="11" customFormat="1" ht="18.75" customHeight="1">
      <c r="A21" s="9">
        <v>7</v>
      </c>
      <c r="B21" s="9">
        <v>1</v>
      </c>
      <c r="C21" s="10" t="s">
        <v>92</v>
      </c>
      <c r="D21" s="13" t="s">
        <v>28</v>
      </c>
      <c r="E21" s="13" t="s">
        <v>42</v>
      </c>
      <c r="F21" s="9" t="s">
        <v>43</v>
      </c>
      <c r="G21" s="9" t="s">
        <v>44</v>
      </c>
      <c r="H21" s="9" t="str">
        <f>CONCATENATE(Table1[[#This Row],[LGA]],Table1[[#This Row],[Ward]],Table1[[#This Row],[Settlement]])</f>
        <v>BiaseIkun/EtonoIkun</v>
      </c>
      <c r="I21" s="13">
        <v>1</v>
      </c>
      <c r="J21" s="13" t="s">
        <v>87</v>
      </c>
      <c r="K21" s="13" t="s">
        <v>50</v>
      </c>
      <c r="L21" s="14">
        <v>44259</v>
      </c>
      <c r="M21" s="13">
        <v>13</v>
      </c>
      <c r="N21" s="14">
        <v>44320</v>
      </c>
      <c r="O21" s="13" t="s">
        <v>46</v>
      </c>
      <c r="P21" s="13" t="s">
        <v>36</v>
      </c>
      <c r="Q21" s="20"/>
      <c r="R21" s="13" t="s">
        <v>37</v>
      </c>
      <c r="S21" s="13" t="s">
        <v>48</v>
      </c>
      <c r="T21" s="21"/>
      <c r="U21" s="13">
        <v>0</v>
      </c>
      <c r="V21" s="13">
        <v>0</v>
      </c>
      <c r="W21" s="13">
        <v>0</v>
      </c>
      <c r="X21" s="13" t="s">
        <v>39</v>
      </c>
      <c r="Y21" s="16" t="s">
        <v>40</v>
      </c>
      <c r="Z21" s="20"/>
      <c r="AA21" s="22"/>
      <c r="AB21" s="23"/>
    </row>
    <row r="22" spans="1:28" s="11" customFormat="1" ht="24" customHeight="1">
      <c r="A22" s="9">
        <v>19</v>
      </c>
      <c r="B22" s="9">
        <v>1</v>
      </c>
      <c r="C22" s="10" t="s">
        <v>93</v>
      </c>
      <c r="D22" s="11" t="s">
        <v>28</v>
      </c>
      <c r="E22" s="11" t="s">
        <v>29</v>
      </c>
      <c r="F22" s="12" t="s">
        <v>30</v>
      </c>
      <c r="G22" s="12" t="s">
        <v>59</v>
      </c>
      <c r="H22" s="12" t="str">
        <f>CONCATENATE(Table1[[#This Row],[LGA]],Table1[[#This Row],[Ward]],Table1[[#This Row],[Settlement]])</f>
        <v>YakurrMkpani/Agoi Ijiman Agoi Ekpo</v>
      </c>
      <c r="I22" s="11">
        <v>1</v>
      </c>
      <c r="J22" s="13" t="s">
        <v>87</v>
      </c>
      <c r="K22" s="11" t="s">
        <v>50</v>
      </c>
      <c r="L22" s="32">
        <v>44471</v>
      </c>
      <c r="M22" s="11">
        <v>6</v>
      </c>
      <c r="N22" s="32">
        <v>44471</v>
      </c>
      <c r="O22" s="11" t="s">
        <v>61</v>
      </c>
      <c r="P22" s="11" t="s">
        <v>47</v>
      </c>
      <c r="Q22" s="32">
        <v>44471</v>
      </c>
      <c r="R22" s="11" t="s">
        <v>37</v>
      </c>
      <c r="S22" s="11" t="s">
        <v>38</v>
      </c>
      <c r="T22" s="15">
        <v>0</v>
      </c>
      <c r="U22" s="11">
        <v>0</v>
      </c>
      <c r="V22" s="11">
        <v>0</v>
      </c>
      <c r="W22" s="11">
        <v>0</v>
      </c>
      <c r="X22" s="13" t="s">
        <v>39</v>
      </c>
      <c r="Y22" s="16" t="s">
        <v>40</v>
      </c>
      <c r="Z22" s="17">
        <v>44238</v>
      </c>
      <c r="AA22" s="18"/>
      <c r="AB22" s="23"/>
    </row>
    <row r="23" spans="1:28" s="11" customFormat="1" ht="24" customHeight="1">
      <c r="A23" s="9">
        <v>23</v>
      </c>
      <c r="B23" s="9">
        <v>1</v>
      </c>
      <c r="C23" s="10" t="s">
        <v>94</v>
      </c>
      <c r="D23" s="11" t="s">
        <v>28</v>
      </c>
      <c r="E23" s="11" t="s">
        <v>29</v>
      </c>
      <c r="F23" s="12" t="s">
        <v>30</v>
      </c>
      <c r="G23" s="12" t="s">
        <v>59</v>
      </c>
      <c r="H23" s="12" t="str">
        <f>CONCATENATE(Table1[[#This Row],[LGA]],Table1[[#This Row],[Ward]],Table1[[#This Row],[Settlement]])</f>
        <v>YakurrMkpani/Agoi Ijiman Agoi Ekpo</v>
      </c>
      <c r="I23" s="13">
        <v>1</v>
      </c>
      <c r="J23" s="13" t="s">
        <v>87</v>
      </c>
      <c r="K23" s="13" t="s">
        <v>50</v>
      </c>
      <c r="L23" s="32" t="s">
        <v>60</v>
      </c>
      <c r="M23" s="11">
        <v>6</v>
      </c>
      <c r="N23" s="32" t="s">
        <v>60</v>
      </c>
      <c r="O23" s="11" t="s">
        <v>61</v>
      </c>
      <c r="P23" s="11" t="s">
        <v>36</v>
      </c>
      <c r="Q23" s="32"/>
      <c r="R23" s="11" t="s">
        <v>62</v>
      </c>
      <c r="T23" s="15">
        <v>0</v>
      </c>
      <c r="U23" s="11">
        <v>0</v>
      </c>
      <c r="V23" s="11">
        <v>0</v>
      </c>
      <c r="W23" s="11">
        <v>0</v>
      </c>
      <c r="X23" s="13" t="s">
        <v>39</v>
      </c>
      <c r="Y23" s="16" t="s">
        <v>40</v>
      </c>
      <c r="Z23" s="17"/>
      <c r="AA23" s="18"/>
      <c r="AB23" s="23"/>
    </row>
    <row r="24" spans="1:28" s="11" customFormat="1" ht="24" customHeight="1">
      <c r="A24" s="9">
        <v>40</v>
      </c>
      <c r="B24" s="9">
        <v>1</v>
      </c>
      <c r="C24" s="10" t="s">
        <v>95</v>
      </c>
      <c r="D24" s="13" t="s">
        <v>28</v>
      </c>
      <c r="E24" s="13" t="s">
        <v>29</v>
      </c>
      <c r="F24" s="9" t="s">
        <v>30</v>
      </c>
      <c r="G24" s="9" t="s">
        <v>96</v>
      </c>
      <c r="H24" s="9" t="str">
        <f>CONCATENATE(Table1[[#This Row],[LGA]],Table1[[#This Row],[Ward]],Table1[[#This Row],[Settlement]])</f>
        <v>YakurrMkpani/Agoi Ajere</v>
      </c>
      <c r="I24" s="13">
        <v>1</v>
      </c>
      <c r="J24" s="13" t="s">
        <v>87</v>
      </c>
      <c r="K24" s="13" t="s">
        <v>33</v>
      </c>
      <c r="L24" s="32" t="s">
        <v>78</v>
      </c>
      <c r="M24" s="13">
        <v>7</v>
      </c>
      <c r="N24" s="32" t="s">
        <v>78</v>
      </c>
      <c r="O24" s="13" t="s">
        <v>35</v>
      </c>
      <c r="P24" s="13" t="s">
        <v>36</v>
      </c>
      <c r="Q24" s="32"/>
      <c r="R24" s="13" t="s">
        <v>37</v>
      </c>
      <c r="S24" s="13" t="s">
        <v>48</v>
      </c>
      <c r="T24" s="21"/>
      <c r="U24" s="13">
        <v>0</v>
      </c>
      <c r="V24" s="13">
        <v>0</v>
      </c>
      <c r="W24" s="13">
        <v>0</v>
      </c>
      <c r="X24" s="13" t="s">
        <v>39</v>
      </c>
      <c r="Y24" s="16" t="s">
        <v>40</v>
      </c>
      <c r="Z24" s="20"/>
      <c r="AA24" s="22"/>
      <c r="AB24" s="23"/>
    </row>
    <row r="25" spans="1:28">
      <c r="A25" s="9">
        <v>41</v>
      </c>
      <c r="B25" s="9">
        <v>1</v>
      </c>
      <c r="C25" s="10" t="s">
        <v>97</v>
      </c>
      <c r="D25" s="13" t="s">
        <v>28</v>
      </c>
      <c r="E25" s="13" t="s">
        <v>29</v>
      </c>
      <c r="F25" s="9" t="s">
        <v>30</v>
      </c>
      <c r="G25" s="9" t="s">
        <v>98</v>
      </c>
      <c r="H25" s="9" t="str">
        <f>CONCATENATE(Table1[[#This Row],[LGA]],Table1[[#This Row],[Ward]],Table1[[#This Row],[Settlement]])</f>
        <v>YakurrMkpani/Agoi Okom-Ajere</v>
      </c>
      <c r="I25" s="13">
        <v>1</v>
      </c>
      <c r="J25" s="13" t="s">
        <v>87</v>
      </c>
      <c r="K25" s="13" t="s">
        <v>33</v>
      </c>
      <c r="L25" s="14">
        <v>44379</v>
      </c>
      <c r="M25" s="13">
        <v>6</v>
      </c>
      <c r="N25" s="14">
        <v>44379</v>
      </c>
      <c r="O25" s="13" t="s">
        <v>35</v>
      </c>
      <c r="P25" s="13" t="s">
        <v>36</v>
      </c>
      <c r="Q25" s="14"/>
      <c r="R25" s="13" t="s">
        <v>37</v>
      </c>
      <c r="S25" s="13" t="s">
        <v>48</v>
      </c>
      <c r="T25" s="21"/>
      <c r="U25" s="13">
        <v>0</v>
      </c>
      <c r="V25" s="13">
        <v>0</v>
      </c>
      <c r="W25" s="13">
        <v>0</v>
      </c>
      <c r="X25" s="13" t="s">
        <v>39</v>
      </c>
      <c r="Y25" s="16" t="s">
        <v>40</v>
      </c>
      <c r="Z25" s="20"/>
      <c r="AA25" s="22"/>
    </row>
    <row r="26" spans="1:28">
      <c r="A26" s="9">
        <v>65</v>
      </c>
      <c r="B26" s="9">
        <v>1</v>
      </c>
      <c r="C26" s="10" t="s">
        <v>99</v>
      </c>
      <c r="D26" s="13" t="s">
        <v>28</v>
      </c>
      <c r="E26" s="13" t="s">
        <v>100</v>
      </c>
      <c r="F26" s="9" t="s">
        <v>101</v>
      </c>
      <c r="G26" s="9" t="s">
        <v>102</v>
      </c>
      <c r="H26" s="9" t="str">
        <f>CONCATENATE(Table1[[#This Row],[LGA]],Table1[[#This Row],[Ward]],Table1[[#This Row],[Settlement]])</f>
        <v>BAKASSIIKANGOKONIKI FP</v>
      </c>
      <c r="I26" s="13">
        <v>1</v>
      </c>
      <c r="J26" s="13" t="s">
        <v>87</v>
      </c>
      <c r="K26" s="13" t="s">
        <v>50</v>
      </c>
      <c r="L26" s="20" t="s">
        <v>103</v>
      </c>
      <c r="M26" s="13">
        <v>43</v>
      </c>
      <c r="N26" s="27" t="s">
        <v>104</v>
      </c>
      <c r="O26" s="38" t="s">
        <v>105</v>
      </c>
      <c r="P26" s="13"/>
      <c r="Q26" s="20" t="s">
        <v>104</v>
      </c>
      <c r="R26" s="13" t="s">
        <v>106</v>
      </c>
      <c r="S26" s="13" t="s">
        <v>38</v>
      </c>
      <c r="T26" s="21"/>
      <c r="U26" s="13">
        <v>0</v>
      </c>
      <c r="V26" s="13">
        <v>0</v>
      </c>
      <c r="W26" s="13">
        <v>0</v>
      </c>
      <c r="X26" s="13" t="s">
        <v>39</v>
      </c>
      <c r="Y26" s="13">
        <v>0</v>
      </c>
      <c r="Z26" s="20">
        <v>44266</v>
      </c>
      <c r="AA26" s="22" t="s">
        <v>72</v>
      </c>
    </row>
    <row r="27" spans="1:28">
      <c r="A27" s="9">
        <v>9</v>
      </c>
      <c r="B27" s="9">
        <v>1</v>
      </c>
      <c r="C27" s="10" t="s">
        <v>107</v>
      </c>
      <c r="D27" s="13" t="s">
        <v>28</v>
      </c>
      <c r="E27" s="13" t="s">
        <v>42</v>
      </c>
      <c r="F27" s="9" t="s">
        <v>43</v>
      </c>
      <c r="G27" s="9" t="s">
        <v>44</v>
      </c>
      <c r="H27" s="9" t="str">
        <f>CONCATENATE(Table1[[#This Row],[LGA]],Table1[[#This Row],[Ward]],Table1[[#This Row],[Settlement]])</f>
        <v>BiaseIkun/EtonoIkun</v>
      </c>
      <c r="I27" s="13">
        <v>2</v>
      </c>
      <c r="J27" s="13" t="s">
        <v>87</v>
      </c>
      <c r="K27" s="13" t="s">
        <v>50</v>
      </c>
      <c r="L27" s="14">
        <v>44320</v>
      </c>
      <c r="M27" s="13">
        <v>14</v>
      </c>
      <c r="N27" s="14">
        <v>44320</v>
      </c>
      <c r="O27" s="13" t="s">
        <v>46</v>
      </c>
      <c r="P27" s="11" t="s">
        <v>47</v>
      </c>
      <c r="Q27" s="14">
        <v>44320</v>
      </c>
      <c r="R27" s="13" t="s">
        <v>37</v>
      </c>
      <c r="S27" s="13" t="s">
        <v>48</v>
      </c>
      <c r="T27" s="21"/>
      <c r="U27" s="13">
        <v>0</v>
      </c>
      <c r="V27" s="13">
        <v>0</v>
      </c>
      <c r="W27" s="13">
        <v>0</v>
      </c>
      <c r="X27" s="13" t="s">
        <v>39</v>
      </c>
      <c r="Y27" s="16" t="s">
        <v>40</v>
      </c>
      <c r="Z27" s="20"/>
      <c r="AA27" s="22"/>
    </row>
    <row r="28" spans="1:28">
      <c r="A28" s="9">
        <v>14</v>
      </c>
      <c r="B28" s="9">
        <v>1</v>
      </c>
      <c r="C28" s="10" t="s">
        <v>108</v>
      </c>
      <c r="D28" s="12" t="s">
        <v>28</v>
      </c>
      <c r="E28" s="12" t="s">
        <v>29</v>
      </c>
      <c r="F28" s="12" t="s">
        <v>30</v>
      </c>
      <c r="G28" s="12" t="s">
        <v>31</v>
      </c>
      <c r="H28" s="12" t="str">
        <f>CONCATENATE(Table1[[#This Row],[LGA]],Table1[[#This Row],[Ward]],Table1[[#This Row],[Settlement]])</f>
        <v>YakurrMkpani/Agoi Akugum Aduma</v>
      </c>
      <c r="I28" s="12">
        <v>2</v>
      </c>
      <c r="J28" s="13" t="s">
        <v>87</v>
      </c>
      <c r="K28" s="12" t="s">
        <v>50</v>
      </c>
      <c r="L28" s="33">
        <v>44379</v>
      </c>
      <c r="M28" s="11">
        <v>6</v>
      </c>
      <c r="N28" s="33">
        <v>44379</v>
      </c>
      <c r="O28" s="11" t="s">
        <v>35</v>
      </c>
      <c r="P28" s="11" t="s">
        <v>47</v>
      </c>
      <c r="Q28" s="33">
        <v>44379</v>
      </c>
      <c r="R28" s="11" t="s">
        <v>37</v>
      </c>
      <c r="S28" s="11" t="s">
        <v>38</v>
      </c>
      <c r="T28" s="15">
        <v>0</v>
      </c>
      <c r="U28" s="11">
        <v>0</v>
      </c>
      <c r="V28" s="11">
        <v>0</v>
      </c>
      <c r="W28" s="11">
        <v>0</v>
      </c>
      <c r="X28" s="13" t="s">
        <v>39</v>
      </c>
      <c r="Y28" s="16" t="s">
        <v>40</v>
      </c>
      <c r="Z28" s="17">
        <v>44234</v>
      </c>
      <c r="AA28" s="18"/>
    </row>
    <row r="29" spans="1:28">
      <c r="A29" s="9">
        <v>20</v>
      </c>
      <c r="B29" s="9">
        <v>1</v>
      </c>
      <c r="C29" s="10" t="s">
        <v>109</v>
      </c>
      <c r="D29" s="11" t="s">
        <v>28</v>
      </c>
      <c r="E29" s="11" t="s">
        <v>29</v>
      </c>
      <c r="F29" s="12" t="s">
        <v>30</v>
      </c>
      <c r="G29" s="12" t="s">
        <v>59</v>
      </c>
      <c r="H29" s="12" t="str">
        <f>CONCATENATE(Table1[[#This Row],[LGA]],Table1[[#This Row],[Ward]],Table1[[#This Row],[Settlement]])</f>
        <v>YakurrMkpani/Agoi Ijiman Agoi Ekpo</v>
      </c>
      <c r="I29" s="11">
        <v>2</v>
      </c>
      <c r="J29" s="13" t="s">
        <v>87</v>
      </c>
      <c r="K29" s="11" t="s">
        <v>50</v>
      </c>
      <c r="L29" s="32">
        <v>44471</v>
      </c>
      <c r="M29" s="11">
        <v>6</v>
      </c>
      <c r="N29" s="32">
        <v>44471</v>
      </c>
      <c r="O29" s="11" t="s">
        <v>61</v>
      </c>
      <c r="P29" s="11" t="s">
        <v>47</v>
      </c>
      <c r="Q29" s="32">
        <v>44471</v>
      </c>
      <c r="R29" s="11" t="s">
        <v>37</v>
      </c>
      <c r="S29" s="11" t="s">
        <v>38</v>
      </c>
      <c r="T29" s="15">
        <v>0</v>
      </c>
      <c r="U29" s="11">
        <v>0</v>
      </c>
      <c r="V29" s="11">
        <v>0</v>
      </c>
      <c r="W29" s="11">
        <v>0</v>
      </c>
      <c r="X29" s="13" t="s">
        <v>39</v>
      </c>
      <c r="Y29" s="16" t="s">
        <v>40</v>
      </c>
      <c r="Z29" s="17">
        <v>44238</v>
      </c>
      <c r="AA29" s="18"/>
    </row>
    <row r="30" spans="1:28" s="39" customFormat="1">
      <c r="A30" s="9">
        <v>22</v>
      </c>
      <c r="B30" s="9">
        <v>1</v>
      </c>
      <c r="C30" s="10" t="s">
        <v>110</v>
      </c>
      <c r="D30" s="11" t="s">
        <v>28</v>
      </c>
      <c r="E30" s="11" t="s">
        <v>29</v>
      </c>
      <c r="F30" s="12" t="s">
        <v>30</v>
      </c>
      <c r="G30" s="12" t="s">
        <v>59</v>
      </c>
      <c r="H30" s="12" t="str">
        <f>CONCATENATE(Table1[[#This Row],[LGA]],Table1[[#This Row],[Ward]],Table1[[#This Row],[Settlement]])</f>
        <v>YakurrMkpani/Agoi Ijiman Agoi Ekpo</v>
      </c>
      <c r="I30" s="13">
        <v>2</v>
      </c>
      <c r="J30" s="13" t="s">
        <v>87</v>
      </c>
      <c r="K30" s="13" t="s">
        <v>33</v>
      </c>
      <c r="L30" s="32" t="s">
        <v>60</v>
      </c>
      <c r="M30" s="11">
        <v>6</v>
      </c>
      <c r="N30" s="32" t="s">
        <v>60</v>
      </c>
      <c r="O30" s="11" t="s">
        <v>61</v>
      </c>
      <c r="P30" s="11" t="s">
        <v>47</v>
      </c>
      <c r="Q30" s="32" t="s">
        <v>60</v>
      </c>
      <c r="R30" s="11" t="s">
        <v>37</v>
      </c>
      <c r="S30" s="11" t="s">
        <v>38</v>
      </c>
      <c r="T30" s="15">
        <v>0</v>
      </c>
      <c r="U30" s="11">
        <v>0</v>
      </c>
      <c r="V30" s="11">
        <v>0</v>
      </c>
      <c r="W30" s="11">
        <v>0</v>
      </c>
      <c r="X30" s="13" t="s">
        <v>39</v>
      </c>
      <c r="Y30" s="16" t="s">
        <v>40</v>
      </c>
      <c r="Z30" s="17">
        <v>44241</v>
      </c>
      <c r="AA30" s="18"/>
    </row>
    <row r="31" spans="1:28">
      <c r="A31" s="9">
        <v>25</v>
      </c>
      <c r="B31" s="9">
        <v>1</v>
      </c>
      <c r="C31" s="10" t="s">
        <v>111</v>
      </c>
      <c r="D31" s="11" t="s">
        <v>28</v>
      </c>
      <c r="E31" s="11" t="s">
        <v>29</v>
      </c>
      <c r="F31" s="12" t="s">
        <v>30</v>
      </c>
      <c r="G31" s="12" t="s">
        <v>59</v>
      </c>
      <c r="H31" s="12" t="str">
        <f>CONCATENATE(Table1[[#This Row],[LGA]],Table1[[#This Row],[Ward]],Table1[[#This Row],[Settlement]])</f>
        <v>YakurrMkpani/Agoi Ijiman Agoi Ekpo</v>
      </c>
      <c r="I31" s="13">
        <v>2</v>
      </c>
      <c r="J31" s="13" t="s">
        <v>87</v>
      </c>
      <c r="K31" s="13" t="s">
        <v>50</v>
      </c>
      <c r="L31" s="32" t="s">
        <v>60</v>
      </c>
      <c r="M31" s="11">
        <v>6</v>
      </c>
      <c r="N31" s="32" t="s">
        <v>60</v>
      </c>
      <c r="O31" s="11" t="s">
        <v>61</v>
      </c>
      <c r="P31" s="11" t="s">
        <v>47</v>
      </c>
      <c r="Q31" s="32" t="s">
        <v>60</v>
      </c>
      <c r="R31" s="11" t="s">
        <v>62</v>
      </c>
      <c r="S31" s="11" t="s">
        <v>38</v>
      </c>
      <c r="T31" s="15">
        <v>0</v>
      </c>
      <c r="U31" s="11">
        <v>0</v>
      </c>
      <c r="V31" s="11">
        <v>0</v>
      </c>
      <c r="W31" s="11">
        <v>0</v>
      </c>
      <c r="X31" s="13" t="s">
        <v>39</v>
      </c>
      <c r="Y31" s="16" t="s">
        <v>40</v>
      </c>
      <c r="Z31" s="17">
        <v>44240</v>
      </c>
      <c r="AA31" s="18"/>
    </row>
    <row r="32" spans="1:28">
      <c r="A32" s="9">
        <v>36</v>
      </c>
      <c r="B32" s="9">
        <v>1</v>
      </c>
      <c r="C32" s="10" t="s">
        <v>112</v>
      </c>
      <c r="D32" s="13" t="s">
        <v>28</v>
      </c>
      <c r="E32" s="13" t="s">
        <v>29</v>
      </c>
      <c r="F32" s="9" t="s">
        <v>30</v>
      </c>
      <c r="G32" s="9" t="s">
        <v>113</v>
      </c>
      <c r="H32" s="9" t="str">
        <f>CONCATENATE(Table1[[#This Row],[LGA]],Table1[[#This Row],[Ward]],Table1[[#This Row],[Settlement]])</f>
        <v>YakurrMkpani/Agoi Afaben</v>
      </c>
      <c r="I32" s="13">
        <v>2</v>
      </c>
      <c r="J32" s="13" t="s">
        <v>87</v>
      </c>
      <c r="K32" s="13" t="s">
        <v>33</v>
      </c>
      <c r="L32" s="14">
        <v>44532</v>
      </c>
      <c r="M32" s="13">
        <v>6</v>
      </c>
      <c r="N32" s="14">
        <v>44532</v>
      </c>
      <c r="O32" s="13" t="s">
        <v>35</v>
      </c>
      <c r="P32" s="13" t="s">
        <v>36</v>
      </c>
      <c r="Q32" s="14"/>
      <c r="R32" s="13" t="s">
        <v>37</v>
      </c>
      <c r="S32" s="13" t="s">
        <v>48</v>
      </c>
      <c r="T32" s="21"/>
      <c r="U32" s="13">
        <v>0</v>
      </c>
      <c r="V32" s="13">
        <v>0</v>
      </c>
      <c r="W32" s="13">
        <v>0</v>
      </c>
      <c r="X32" s="13" t="s">
        <v>39</v>
      </c>
      <c r="Y32" s="16" t="s">
        <v>40</v>
      </c>
      <c r="Z32" s="20"/>
      <c r="AA32" s="22"/>
    </row>
    <row r="33" spans="1:27">
      <c r="A33" s="9">
        <v>3</v>
      </c>
      <c r="B33" s="9">
        <v>1</v>
      </c>
      <c r="C33" s="10" t="s">
        <v>114</v>
      </c>
      <c r="D33" s="13" t="s">
        <v>28</v>
      </c>
      <c r="E33" s="13" t="s">
        <v>42</v>
      </c>
      <c r="F33" s="9" t="s">
        <v>43</v>
      </c>
      <c r="G33" s="9" t="s">
        <v>44</v>
      </c>
      <c r="H33" s="9" t="str">
        <f>CONCATENATE(Table1[[#This Row],[LGA]],Table1[[#This Row],[Ward]],Table1[[#This Row],[Settlement]])</f>
        <v>BiaseIkun/EtonoIkun</v>
      </c>
      <c r="I33" s="13">
        <v>3</v>
      </c>
      <c r="J33" s="13" t="s">
        <v>87</v>
      </c>
      <c r="K33" s="13" t="s">
        <v>50</v>
      </c>
      <c r="L33" s="14" t="s">
        <v>115</v>
      </c>
      <c r="M33" s="13">
        <v>12</v>
      </c>
      <c r="N33" s="20">
        <v>44200</v>
      </c>
      <c r="O33" s="13" t="s">
        <v>46</v>
      </c>
      <c r="P33" s="13" t="s">
        <v>36</v>
      </c>
      <c r="Q33" s="20"/>
      <c r="R33" s="13" t="s">
        <v>37</v>
      </c>
      <c r="S33" s="13" t="s">
        <v>48</v>
      </c>
      <c r="T33" s="21"/>
      <c r="U33" s="13">
        <v>0</v>
      </c>
      <c r="V33" s="13">
        <v>0</v>
      </c>
      <c r="W33" s="13">
        <v>0</v>
      </c>
      <c r="X33" s="13" t="s">
        <v>39</v>
      </c>
      <c r="Y33" s="16" t="s">
        <v>40</v>
      </c>
      <c r="Z33" s="20"/>
      <c r="AA33" s="22"/>
    </row>
    <row r="34" spans="1:27">
      <c r="A34" s="9">
        <v>69</v>
      </c>
      <c r="B34" s="9">
        <v>1</v>
      </c>
      <c r="C34" s="10" t="s">
        <v>116</v>
      </c>
      <c r="D34" s="13" t="s">
        <v>28</v>
      </c>
      <c r="E34" s="13" t="s">
        <v>117</v>
      </c>
      <c r="F34" s="9" t="s">
        <v>118</v>
      </c>
      <c r="G34" s="9" t="s">
        <v>119</v>
      </c>
      <c r="H34" s="9" t="str">
        <f>CONCATENATE(Table1[[#This Row],[LGA]],Table1[[#This Row],[Ward]],Table1[[#This Row],[Settlement]])</f>
        <v>CAL MUNICIPALIKOT OMIN8 MILES</v>
      </c>
      <c r="I34" s="13">
        <v>3</v>
      </c>
      <c r="J34" s="13" t="s">
        <v>87</v>
      </c>
      <c r="K34" s="13" t="s">
        <v>33</v>
      </c>
      <c r="L34" s="20" t="s">
        <v>120</v>
      </c>
      <c r="M34" s="13">
        <v>43</v>
      </c>
      <c r="N34" s="27" t="s">
        <v>103</v>
      </c>
      <c r="O34" s="13" t="s">
        <v>68</v>
      </c>
      <c r="P34" s="13" t="s">
        <v>69</v>
      </c>
      <c r="Q34" s="20" t="s">
        <v>103</v>
      </c>
      <c r="R34" s="13"/>
      <c r="S34" s="13" t="s">
        <v>38</v>
      </c>
      <c r="T34" s="21"/>
      <c r="U34" s="13">
        <v>0</v>
      </c>
      <c r="V34" s="13">
        <v>0</v>
      </c>
      <c r="W34" s="13">
        <v>0</v>
      </c>
      <c r="X34" s="13" t="s">
        <v>70</v>
      </c>
      <c r="Y34" s="13">
        <v>0</v>
      </c>
      <c r="Z34" s="20">
        <v>44266</v>
      </c>
      <c r="AA34" s="22" t="s">
        <v>72</v>
      </c>
    </row>
    <row r="35" spans="1:27">
      <c r="A35" s="9">
        <v>24</v>
      </c>
      <c r="B35" s="9">
        <v>1</v>
      </c>
      <c r="C35" s="10" t="s">
        <v>121</v>
      </c>
      <c r="D35" s="11" t="s">
        <v>28</v>
      </c>
      <c r="E35" s="11" t="s">
        <v>29</v>
      </c>
      <c r="F35" s="12" t="s">
        <v>30</v>
      </c>
      <c r="G35" s="12" t="s">
        <v>59</v>
      </c>
      <c r="H35" s="12" t="str">
        <f>CONCATENATE(Table1[[#This Row],[LGA]],Table1[[#This Row],[Ward]],Table1[[#This Row],[Settlement]])</f>
        <v>YakurrMkpani/Agoi Ijiman Agoi Ekpo</v>
      </c>
      <c r="I35" s="13">
        <v>4</v>
      </c>
      <c r="J35" s="13" t="s">
        <v>87</v>
      </c>
      <c r="K35" s="13" t="s">
        <v>33</v>
      </c>
      <c r="L35" s="32" t="s">
        <v>60</v>
      </c>
      <c r="M35" s="11">
        <v>6</v>
      </c>
      <c r="N35" s="32" t="s">
        <v>60</v>
      </c>
      <c r="O35" s="11" t="s">
        <v>61</v>
      </c>
      <c r="P35" s="11" t="s">
        <v>36</v>
      </c>
      <c r="Q35" s="32"/>
      <c r="R35" s="11" t="s">
        <v>62</v>
      </c>
      <c r="S35" s="11" t="s">
        <v>38</v>
      </c>
      <c r="T35" s="15">
        <v>0</v>
      </c>
      <c r="U35" s="11">
        <v>0</v>
      </c>
      <c r="V35" s="11">
        <v>0</v>
      </c>
      <c r="W35" s="11">
        <v>0</v>
      </c>
      <c r="X35" s="13" t="s">
        <v>39</v>
      </c>
      <c r="Y35" s="16" t="s">
        <v>40</v>
      </c>
      <c r="Z35" s="17"/>
      <c r="AA35" s="18"/>
    </row>
    <row r="36" spans="1:27">
      <c r="A36" s="9">
        <v>37</v>
      </c>
      <c r="B36" s="9">
        <v>1</v>
      </c>
      <c r="C36" s="10" t="s">
        <v>122</v>
      </c>
      <c r="D36" s="13" t="s">
        <v>28</v>
      </c>
      <c r="E36" s="13" t="s">
        <v>29</v>
      </c>
      <c r="F36" s="9" t="s">
        <v>30</v>
      </c>
      <c r="G36" s="9" t="s">
        <v>123</v>
      </c>
      <c r="H36" s="9" t="str">
        <f>CONCATENATE(Table1[[#This Row],[LGA]],Table1[[#This Row],[Ward]],Table1[[#This Row],[Settlement]])</f>
        <v>YakurrMkpani/Agoi Obioko</v>
      </c>
      <c r="I36" s="13">
        <v>4</v>
      </c>
      <c r="J36" s="13" t="s">
        <v>87</v>
      </c>
      <c r="K36" s="13" t="s">
        <v>33</v>
      </c>
      <c r="L36" s="14">
        <v>44532</v>
      </c>
      <c r="M36" s="13">
        <v>6</v>
      </c>
      <c r="N36" s="14">
        <v>44532</v>
      </c>
      <c r="O36" s="13" t="s">
        <v>35</v>
      </c>
      <c r="P36" s="13" t="s">
        <v>36</v>
      </c>
      <c r="Q36" s="14"/>
      <c r="R36" s="13" t="s">
        <v>37</v>
      </c>
      <c r="S36" s="13" t="s">
        <v>48</v>
      </c>
      <c r="T36" s="21"/>
      <c r="U36" s="13">
        <v>0</v>
      </c>
      <c r="V36" s="13">
        <v>0</v>
      </c>
      <c r="W36" s="13">
        <v>0</v>
      </c>
      <c r="X36" s="13" t="s">
        <v>39</v>
      </c>
      <c r="Y36" s="16" t="s">
        <v>40</v>
      </c>
      <c r="Z36" s="20"/>
      <c r="AA36" s="22"/>
    </row>
    <row r="37" spans="1:27">
      <c r="A37" s="9">
        <v>71</v>
      </c>
      <c r="B37" s="9">
        <v>1</v>
      </c>
      <c r="C37" s="10" t="s">
        <v>124</v>
      </c>
      <c r="D37" s="13" t="s">
        <v>28</v>
      </c>
      <c r="E37" s="13" t="s">
        <v>117</v>
      </c>
      <c r="F37" s="9" t="s">
        <v>125</v>
      </c>
      <c r="G37" s="9" t="s">
        <v>126</v>
      </c>
      <c r="H37" s="9" t="str">
        <f>CONCATENATE(Table1[[#This Row],[LGA]],Table1[[#This Row],[Ward]],Table1[[#This Row],[Settlement]])</f>
        <v>CAL MUNICIPALAKIMIBB WAY</v>
      </c>
      <c r="I37" s="13">
        <v>4</v>
      </c>
      <c r="J37" s="13" t="s">
        <v>87</v>
      </c>
      <c r="K37" s="13" t="s">
        <v>33</v>
      </c>
      <c r="L37" s="20" t="s">
        <v>104</v>
      </c>
      <c r="M37" s="13">
        <v>43</v>
      </c>
      <c r="N37" s="27" t="s">
        <v>127</v>
      </c>
      <c r="O37" s="13" t="s">
        <v>68</v>
      </c>
      <c r="P37" s="13" t="s">
        <v>69</v>
      </c>
      <c r="Q37" s="20" t="s">
        <v>67</v>
      </c>
      <c r="R37" s="13"/>
      <c r="S37" s="13" t="s">
        <v>38</v>
      </c>
      <c r="T37" s="21"/>
      <c r="U37" s="13">
        <v>0</v>
      </c>
      <c r="V37" s="13">
        <v>0</v>
      </c>
      <c r="W37" s="13">
        <v>0</v>
      </c>
      <c r="X37" s="13" t="s">
        <v>128</v>
      </c>
      <c r="Y37" s="13">
        <v>0</v>
      </c>
      <c r="Z37" s="20">
        <v>44327</v>
      </c>
      <c r="AA37" s="22" t="s">
        <v>72</v>
      </c>
    </row>
    <row r="38" spans="1:27">
      <c r="A38" s="9">
        <v>68</v>
      </c>
      <c r="B38" s="9">
        <v>1</v>
      </c>
      <c r="C38" s="10" t="s">
        <v>129</v>
      </c>
      <c r="D38" s="13" t="s">
        <v>28</v>
      </c>
      <c r="E38" s="13" t="s">
        <v>100</v>
      </c>
      <c r="F38" s="9" t="s">
        <v>101</v>
      </c>
      <c r="G38" s="9" t="s">
        <v>130</v>
      </c>
      <c r="H38" s="9" t="str">
        <f>CONCATENATE(Table1[[#This Row],[LGA]],Table1[[#This Row],[Ward]],Table1[[#This Row],[Settlement]])</f>
        <v>BAKASSIIKANGHINO FISHING PORT</v>
      </c>
      <c r="I38" s="13">
        <v>5</v>
      </c>
      <c r="J38" s="13" t="s">
        <v>87</v>
      </c>
      <c r="K38" s="13" t="s">
        <v>50</v>
      </c>
      <c r="L38" s="20">
        <v>44297</v>
      </c>
      <c r="M38" s="13">
        <v>44</v>
      </c>
      <c r="N38" s="27">
        <v>44327</v>
      </c>
      <c r="O38" s="13" t="s">
        <v>131</v>
      </c>
      <c r="P38" s="13" t="s">
        <v>69</v>
      </c>
      <c r="Q38" s="20">
        <v>44327</v>
      </c>
      <c r="R38" s="13" t="s">
        <v>106</v>
      </c>
      <c r="S38" s="13" t="s">
        <v>132</v>
      </c>
      <c r="T38" s="21"/>
      <c r="U38" s="40" t="s">
        <v>133</v>
      </c>
      <c r="V38" s="13">
        <v>0</v>
      </c>
      <c r="W38" s="13">
        <v>0</v>
      </c>
      <c r="X38" s="13" t="s">
        <v>39</v>
      </c>
      <c r="Y38" s="13">
        <v>0</v>
      </c>
      <c r="Z38" s="20">
        <v>44419</v>
      </c>
      <c r="AA38" s="22" t="s">
        <v>72</v>
      </c>
    </row>
    <row r="39" spans="1:27">
      <c r="A39" s="9">
        <v>59</v>
      </c>
      <c r="B39" s="9">
        <v>1</v>
      </c>
      <c r="C39" s="10" t="s">
        <v>134</v>
      </c>
      <c r="D39" s="13" t="s">
        <v>28</v>
      </c>
      <c r="E39" s="13" t="s">
        <v>135</v>
      </c>
      <c r="F39" s="9" t="s">
        <v>136</v>
      </c>
      <c r="G39" s="9" t="s">
        <v>137</v>
      </c>
      <c r="H39" s="9" t="str">
        <f>CONCATENATE(Table1[[#This Row],[LGA]],Table1[[#This Row],[Ward]],Table1[[#This Row],[Settlement]])</f>
        <v>YAKURRINYIMA/EKPETIBA EKPARA</v>
      </c>
      <c r="I39" s="13">
        <v>6</v>
      </c>
      <c r="J39" s="13" t="s">
        <v>138</v>
      </c>
      <c r="K39" s="13" t="s">
        <v>33</v>
      </c>
      <c r="L39" s="40" t="s">
        <v>139</v>
      </c>
      <c r="M39" s="13">
        <v>20</v>
      </c>
      <c r="N39" s="20" t="s">
        <v>139</v>
      </c>
      <c r="O39" s="13" t="s">
        <v>140</v>
      </c>
      <c r="P39" s="13" t="s">
        <v>141</v>
      </c>
      <c r="Q39" s="20" t="s">
        <v>139</v>
      </c>
      <c r="R39" s="13" t="s">
        <v>106</v>
      </c>
      <c r="S39" s="13" t="s">
        <v>38</v>
      </c>
      <c r="T39" s="21"/>
      <c r="U39" s="13">
        <v>0</v>
      </c>
      <c r="V39" s="13">
        <v>0</v>
      </c>
      <c r="W39" s="13">
        <v>0</v>
      </c>
      <c r="X39" s="13" t="s">
        <v>39</v>
      </c>
      <c r="Y39" s="13">
        <v>0</v>
      </c>
      <c r="Z39" s="20" t="s">
        <v>139</v>
      </c>
      <c r="AA39" s="22" t="s">
        <v>72</v>
      </c>
    </row>
    <row r="40" spans="1:27">
      <c r="A40" s="9">
        <v>62</v>
      </c>
      <c r="B40" s="9">
        <v>1</v>
      </c>
      <c r="C40" s="10" t="s">
        <v>142</v>
      </c>
      <c r="D40" s="13" t="s">
        <v>28</v>
      </c>
      <c r="E40" s="13" t="s">
        <v>135</v>
      </c>
      <c r="F40" s="9" t="s">
        <v>136</v>
      </c>
      <c r="G40" s="9" t="s">
        <v>137</v>
      </c>
      <c r="H40" s="9" t="str">
        <f>CONCATENATE(Table1[[#This Row],[LGA]],Table1[[#This Row],[Ward]],Table1[[#This Row],[Settlement]])</f>
        <v>YAKURRINYIMA/EKPETIBA EKPARA</v>
      </c>
      <c r="I40" s="13">
        <v>6</v>
      </c>
      <c r="J40" s="13" t="s">
        <v>138</v>
      </c>
      <c r="K40" s="13" t="s">
        <v>33</v>
      </c>
      <c r="L40" s="20" t="s">
        <v>143</v>
      </c>
      <c r="M40" s="13">
        <v>20</v>
      </c>
      <c r="N40" s="27" t="s">
        <v>143</v>
      </c>
      <c r="O40" s="13" t="s">
        <v>140</v>
      </c>
      <c r="P40" s="13" t="s">
        <v>141</v>
      </c>
      <c r="Q40" s="20" t="s">
        <v>143</v>
      </c>
      <c r="R40" s="13" t="s">
        <v>106</v>
      </c>
      <c r="S40" s="13" t="s">
        <v>38</v>
      </c>
      <c r="T40" s="21"/>
      <c r="U40" s="13">
        <v>0</v>
      </c>
      <c r="V40" s="13">
        <v>0</v>
      </c>
      <c r="W40" s="13">
        <v>0</v>
      </c>
      <c r="X40" s="13" t="s">
        <v>39</v>
      </c>
      <c r="Y40" s="13">
        <v>0</v>
      </c>
      <c r="Z40" s="20" t="s">
        <v>143</v>
      </c>
      <c r="AA40" s="22" t="s">
        <v>72</v>
      </c>
    </row>
    <row r="41" spans="1:27">
      <c r="A41" s="9">
        <v>35</v>
      </c>
      <c r="B41" s="9">
        <v>1</v>
      </c>
      <c r="C41" s="10" t="s">
        <v>144</v>
      </c>
      <c r="D41" s="13" t="s">
        <v>28</v>
      </c>
      <c r="E41" s="13" t="s">
        <v>29</v>
      </c>
      <c r="F41" s="9" t="s">
        <v>30</v>
      </c>
      <c r="G41" s="9" t="s">
        <v>31</v>
      </c>
      <c r="H41" s="9" t="str">
        <f>CONCATENATE(Table1[[#This Row],[LGA]],Table1[[#This Row],[Ward]],Table1[[#This Row],[Settlement]])</f>
        <v>YakurrMkpani/Agoi Akugum Aduma</v>
      </c>
      <c r="I41" s="13">
        <v>7</v>
      </c>
      <c r="J41" s="13" t="s">
        <v>138</v>
      </c>
      <c r="K41" s="13" t="s">
        <v>50</v>
      </c>
      <c r="L41" s="14">
        <v>44471</v>
      </c>
      <c r="M41" s="13">
        <v>6</v>
      </c>
      <c r="N41" s="14">
        <v>44471</v>
      </c>
      <c r="O41" s="13" t="s">
        <v>35</v>
      </c>
      <c r="P41" s="13" t="s">
        <v>36</v>
      </c>
      <c r="Q41" s="14"/>
      <c r="R41" s="13" t="s">
        <v>37</v>
      </c>
      <c r="S41" s="13" t="s">
        <v>48</v>
      </c>
      <c r="T41" s="21"/>
      <c r="U41" s="13">
        <v>0</v>
      </c>
      <c r="V41" s="13">
        <v>0</v>
      </c>
      <c r="W41" s="13">
        <v>0</v>
      </c>
      <c r="X41" s="13" t="s">
        <v>39</v>
      </c>
      <c r="Y41" s="16" t="s">
        <v>40</v>
      </c>
      <c r="Z41" s="20"/>
      <c r="AA41" s="22"/>
    </row>
    <row r="42" spans="1:27">
      <c r="A42" s="41">
        <v>74</v>
      </c>
      <c r="B42" s="9">
        <v>1</v>
      </c>
      <c r="C42" s="42" t="s">
        <v>145</v>
      </c>
      <c r="D42" s="41" t="s">
        <v>28</v>
      </c>
      <c r="E42" s="41" t="s">
        <v>117</v>
      </c>
      <c r="F42" s="41" t="s">
        <v>146</v>
      </c>
      <c r="G42" s="41" t="s">
        <v>147</v>
      </c>
      <c r="H42" s="41" t="str">
        <f>CONCATENATE(Table1[[#This Row],[LGA]],Table1[[#This Row],[Ward]],Table1[[#This Row],[Settlement]])</f>
        <v>CAL MUNICIPALDIAMONDDIAMOND ROAD</v>
      </c>
      <c r="I42" s="41">
        <v>7</v>
      </c>
      <c r="J42" s="13" t="s">
        <v>138</v>
      </c>
      <c r="K42" s="41" t="s">
        <v>50</v>
      </c>
      <c r="L42" s="43">
        <v>44358</v>
      </c>
      <c r="M42" s="41">
        <v>44</v>
      </c>
      <c r="N42" s="27">
        <v>44388</v>
      </c>
      <c r="O42" s="41" t="s">
        <v>68</v>
      </c>
      <c r="P42" s="41" t="s">
        <v>69</v>
      </c>
      <c r="Q42" s="43">
        <v>44388</v>
      </c>
      <c r="R42" s="41"/>
      <c r="S42" s="41" t="s">
        <v>38</v>
      </c>
      <c r="T42" s="44"/>
      <c r="U42" s="41">
        <v>0</v>
      </c>
      <c r="V42" s="41">
        <v>0</v>
      </c>
      <c r="W42" s="41">
        <v>0</v>
      </c>
      <c r="X42" s="41" t="s">
        <v>70</v>
      </c>
      <c r="Y42" s="41">
        <v>0</v>
      </c>
      <c r="Z42" s="43">
        <v>44419</v>
      </c>
      <c r="AA42" s="45" t="s">
        <v>72</v>
      </c>
    </row>
    <row r="43" spans="1:27">
      <c r="A43" s="9">
        <v>61</v>
      </c>
      <c r="B43" s="9">
        <v>1</v>
      </c>
      <c r="C43" s="10" t="s">
        <v>148</v>
      </c>
      <c r="D43" s="13" t="s">
        <v>28</v>
      </c>
      <c r="E43" s="13" t="s">
        <v>135</v>
      </c>
      <c r="F43" s="9" t="s">
        <v>136</v>
      </c>
      <c r="G43" s="9" t="s">
        <v>137</v>
      </c>
      <c r="H43" s="9" t="str">
        <f>CONCATENATE(Table1[[#This Row],[LGA]],Table1[[#This Row],[Ward]],Table1[[#This Row],[Settlement]])</f>
        <v>YAKURRINYIMA/EKPETIBA EKPARA</v>
      </c>
      <c r="I43" s="13">
        <v>11</v>
      </c>
      <c r="J43" s="13" t="s">
        <v>149</v>
      </c>
      <c r="K43" s="13" t="s">
        <v>33</v>
      </c>
      <c r="L43" s="40" t="s">
        <v>143</v>
      </c>
      <c r="M43" s="13">
        <v>20</v>
      </c>
      <c r="N43" s="20" t="s">
        <v>143</v>
      </c>
      <c r="O43" s="13" t="s">
        <v>140</v>
      </c>
      <c r="P43" s="13" t="s">
        <v>141</v>
      </c>
      <c r="Q43" s="20" t="s">
        <v>143</v>
      </c>
      <c r="R43" s="13" t="s">
        <v>106</v>
      </c>
      <c r="S43" s="13" t="s">
        <v>38</v>
      </c>
      <c r="T43" s="21"/>
      <c r="U43" s="13">
        <v>0</v>
      </c>
      <c r="V43" s="13">
        <v>0</v>
      </c>
      <c r="W43" s="13">
        <v>0</v>
      </c>
      <c r="X43" s="13" t="s">
        <v>39</v>
      </c>
      <c r="Y43" s="13">
        <v>0</v>
      </c>
      <c r="Z43" s="20" t="s">
        <v>143</v>
      </c>
      <c r="AA43" s="22" t="s">
        <v>72</v>
      </c>
    </row>
    <row r="44" spans="1:27">
      <c r="A44" s="9">
        <v>32</v>
      </c>
      <c r="B44" s="9">
        <v>1</v>
      </c>
      <c r="C44" s="10" t="s">
        <v>150</v>
      </c>
      <c r="D44" s="11" t="s">
        <v>28</v>
      </c>
      <c r="E44" s="11" t="s">
        <v>29</v>
      </c>
      <c r="F44" s="12" t="s">
        <v>30</v>
      </c>
      <c r="G44" s="12" t="s">
        <v>31</v>
      </c>
      <c r="H44" s="12" t="str">
        <f>CONCATENATE(Table1[[#This Row],[LGA]],Table1[[#This Row],[Ward]],Table1[[#This Row],[Settlement]])</f>
        <v>YakurrMkpani/Agoi Akugum Aduma</v>
      </c>
      <c r="I44" s="13">
        <v>12</v>
      </c>
      <c r="J44" s="13" t="s">
        <v>149</v>
      </c>
      <c r="K44" s="13" t="s">
        <v>50</v>
      </c>
      <c r="L44" s="14" t="s">
        <v>151</v>
      </c>
      <c r="M44" s="11">
        <v>7</v>
      </c>
      <c r="N44" s="14" t="s">
        <v>151</v>
      </c>
      <c r="O44" s="11" t="s">
        <v>35</v>
      </c>
      <c r="P44" s="11" t="s">
        <v>36</v>
      </c>
      <c r="Q44" s="14"/>
      <c r="R44" s="11" t="s">
        <v>84</v>
      </c>
      <c r="S44" s="11"/>
      <c r="T44" s="15"/>
      <c r="U44" s="11">
        <v>0</v>
      </c>
      <c r="V44" s="11">
        <v>0</v>
      </c>
      <c r="W44" s="11">
        <v>0</v>
      </c>
      <c r="X44" s="13" t="s">
        <v>39</v>
      </c>
      <c r="Y44" s="16" t="s">
        <v>40</v>
      </c>
      <c r="Z44" s="17"/>
      <c r="AA44" s="18"/>
    </row>
    <row r="45" spans="1:27">
      <c r="A45" s="9">
        <v>58</v>
      </c>
      <c r="B45" s="9">
        <v>1</v>
      </c>
      <c r="C45" s="10" t="s">
        <v>152</v>
      </c>
      <c r="D45" s="13" t="s">
        <v>28</v>
      </c>
      <c r="E45" s="13" t="s">
        <v>135</v>
      </c>
      <c r="F45" s="9" t="s">
        <v>136</v>
      </c>
      <c r="G45" s="9" t="s">
        <v>137</v>
      </c>
      <c r="H45" s="9" t="str">
        <f>CONCATENATE(Table1[[#This Row],[LGA]],Table1[[#This Row],[Ward]],Table1[[#This Row],[Settlement]])</f>
        <v>YAKURRINYIMA/EKPETIBA EKPARA</v>
      </c>
      <c r="I45" s="13">
        <v>12</v>
      </c>
      <c r="J45" s="13" t="s">
        <v>149</v>
      </c>
      <c r="K45" s="13" t="s">
        <v>33</v>
      </c>
      <c r="L45" s="40" t="s">
        <v>153</v>
      </c>
      <c r="M45" s="13">
        <v>20</v>
      </c>
      <c r="N45" s="20" t="s">
        <v>153</v>
      </c>
      <c r="O45" s="13" t="s">
        <v>140</v>
      </c>
      <c r="P45" s="13" t="s">
        <v>141</v>
      </c>
      <c r="Q45" s="20" t="s">
        <v>153</v>
      </c>
      <c r="R45" s="13" t="s">
        <v>106</v>
      </c>
      <c r="S45" s="13" t="s">
        <v>38</v>
      </c>
      <c r="T45" s="21"/>
      <c r="U45" s="13">
        <v>0</v>
      </c>
      <c r="V45" s="13">
        <v>0</v>
      </c>
      <c r="W45" s="13">
        <v>0</v>
      </c>
      <c r="X45" s="13" t="s">
        <v>39</v>
      </c>
      <c r="Y45" s="13">
        <v>0</v>
      </c>
      <c r="Z45" s="20" t="s">
        <v>153</v>
      </c>
      <c r="AA45" s="22" t="s">
        <v>72</v>
      </c>
    </row>
    <row r="46" spans="1:27">
      <c r="A46" s="9">
        <v>38</v>
      </c>
      <c r="B46" s="9">
        <v>1</v>
      </c>
      <c r="C46" s="10" t="s">
        <v>154</v>
      </c>
      <c r="D46" s="13" t="s">
        <v>28</v>
      </c>
      <c r="E46" s="13" t="s">
        <v>29</v>
      </c>
      <c r="F46" s="9" t="s">
        <v>30</v>
      </c>
      <c r="G46" s="9" t="s">
        <v>155</v>
      </c>
      <c r="H46" s="9" t="str">
        <f>CONCATENATE(Table1[[#This Row],[LGA]],Table1[[#This Row],[Ward]],Table1[[#This Row],[Settlement]])</f>
        <v>YakurrMkpani/Agoi leboikom</v>
      </c>
      <c r="I46" s="13">
        <v>13</v>
      </c>
      <c r="J46" s="13" t="s">
        <v>149</v>
      </c>
      <c r="K46" s="13" t="s">
        <v>50</v>
      </c>
      <c r="L46" s="14">
        <v>44532</v>
      </c>
      <c r="M46" s="13">
        <v>6</v>
      </c>
      <c r="N46" s="14">
        <v>44532</v>
      </c>
      <c r="O46" s="13" t="s">
        <v>35</v>
      </c>
      <c r="P46" s="13" t="s">
        <v>36</v>
      </c>
      <c r="Q46" s="14"/>
      <c r="R46" s="13" t="s">
        <v>37</v>
      </c>
      <c r="S46" s="13" t="s">
        <v>48</v>
      </c>
      <c r="T46" s="21"/>
      <c r="U46" s="13">
        <v>0</v>
      </c>
      <c r="V46" s="13">
        <v>0</v>
      </c>
      <c r="W46" s="13">
        <v>0</v>
      </c>
      <c r="X46" s="13" t="s">
        <v>39</v>
      </c>
      <c r="Y46" s="16" t="s">
        <v>40</v>
      </c>
      <c r="Z46" s="20"/>
      <c r="AA46" s="22"/>
    </row>
    <row r="47" spans="1:27">
      <c r="A47" s="9">
        <v>49</v>
      </c>
      <c r="B47" s="9">
        <v>1</v>
      </c>
      <c r="C47" s="10" t="s">
        <v>156</v>
      </c>
      <c r="D47" s="13" t="s">
        <v>28</v>
      </c>
      <c r="E47" s="13" t="s">
        <v>135</v>
      </c>
      <c r="F47" s="9" t="s">
        <v>136</v>
      </c>
      <c r="G47" s="9" t="s">
        <v>157</v>
      </c>
      <c r="H47" s="9" t="str">
        <f>CONCATENATE(Table1[[#This Row],[LGA]],Table1[[#This Row],[Ward]],Table1[[#This Row],[Settlement]])</f>
        <v>YAKURRINYIMA/EKPETIBA EKPOTO</v>
      </c>
      <c r="I47" s="13">
        <v>13</v>
      </c>
      <c r="J47" s="13" t="s">
        <v>149</v>
      </c>
      <c r="K47" s="13" t="s">
        <v>50</v>
      </c>
      <c r="L47" s="40" t="s">
        <v>158</v>
      </c>
      <c r="M47" s="13">
        <v>20</v>
      </c>
      <c r="N47" s="20" t="s">
        <v>158</v>
      </c>
      <c r="O47" s="13" t="s">
        <v>140</v>
      </c>
      <c r="P47" s="13" t="s">
        <v>141</v>
      </c>
      <c r="Q47" s="20" t="s">
        <v>158</v>
      </c>
      <c r="R47" s="13" t="s">
        <v>106</v>
      </c>
      <c r="S47" s="13" t="s">
        <v>38</v>
      </c>
      <c r="T47" s="21"/>
      <c r="U47" s="13">
        <v>0</v>
      </c>
      <c r="V47" s="13">
        <v>0</v>
      </c>
      <c r="W47" s="13">
        <v>0</v>
      </c>
      <c r="X47" s="13" t="s">
        <v>39</v>
      </c>
      <c r="Y47" s="13">
        <v>0</v>
      </c>
      <c r="Z47" s="20" t="s">
        <v>158</v>
      </c>
      <c r="AA47" s="22" t="s">
        <v>72</v>
      </c>
    </row>
    <row r="48" spans="1:27">
      <c r="A48" s="9">
        <v>39</v>
      </c>
      <c r="B48" s="9">
        <v>1</v>
      </c>
      <c r="C48" s="10" t="s">
        <v>159</v>
      </c>
      <c r="D48" s="13" t="s">
        <v>28</v>
      </c>
      <c r="E48" s="13" t="s">
        <v>29</v>
      </c>
      <c r="F48" s="9" t="s">
        <v>30</v>
      </c>
      <c r="G48" s="9" t="s">
        <v>160</v>
      </c>
      <c r="H48" s="9" t="str">
        <f>CONCATENATE(Table1[[#This Row],[LGA]],Table1[[#This Row],[Ward]],Table1[[#This Row],[Settlement]])</f>
        <v>YakurrMkpani/Agoi Afeben</v>
      </c>
      <c r="I48" s="9">
        <v>14</v>
      </c>
      <c r="J48" s="13" t="s">
        <v>149</v>
      </c>
      <c r="K48" s="9" t="s">
        <v>33</v>
      </c>
      <c r="L48" s="14">
        <v>44532</v>
      </c>
      <c r="M48" s="9">
        <v>6</v>
      </c>
      <c r="N48" s="14">
        <v>44532</v>
      </c>
      <c r="O48" s="9" t="s">
        <v>35</v>
      </c>
      <c r="P48" s="9" t="s">
        <v>36</v>
      </c>
      <c r="Q48" s="14"/>
      <c r="R48" s="9" t="s">
        <v>37</v>
      </c>
      <c r="S48" s="13" t="s">
        <v>48</v>
      </c>
      <c r="T48" s="29"/>
      <c r="U48" s="9">
        <v>0</v>
      </c>
      <c r="V48" s="9">
        <v>0</v>
      </c>
      <c r="W48" s="9">
        <v>0</v>
      </c>
      <c r="X48" s="13" t="s">
        <v>39</v>
      </c>
      <c r="Y48" s="16" t="s">
        <v>40</v>
      </c>
      <c r="Z48" s="20"/>
      <c r="AA48" s="46"/>
    </row>
    <row r="49" spans="1:27">
      <c r="A49" s="25">
        <v>75</v>
      </c>
      <c r="B49" s="9">
        <v>1</v>
      </c>
      <c r="C49" s="25" t="s">
        <v>161</v>
      </c>
      <c r="D49" s="25" t="s">
        <v>28</v>
      </c>
      <c r="E49" s="25" t="s">
        <v>100</v>
      </c>
      <c r="F49" s="25" t="s">
        <v>101</v>
      </c>
      <c r="G49" s="25" t="s">
        <v>162</v>
      </c>
      <c r="H49" s="25" t="str">
        <f>CONCATENATE(Table1[[#This Row],[LGA]],Table1[[#This Row],[Ward]],Table1[[#This Row],[Settlement]])</f>
        <v>BAKASSIIKANGHOSPITAL ROAD</v>
      </c>
      <c r="I49" s="25">
        <v>14</v>
      </c>
      <c r="J49" s="13" t="s">
        <v>149</v>
      </c>
      <c r="K49" s="25" t="s">
        <v>33</v>
      </c>
      <c r="L49" s="27">
        <v>44514</v>
      </c>
      <c r="M49" s="25">
        <v>46</v>
      </c>
      <c r="N49" s="27">
        <v>44515</v>
      </c>
      <c r="O49" s="25" t="s">
        <v>131</v>
      </c>
      <c r="P49" s="25" t="s">
        <v>69</v>
      </c>
      <c r="Q49" s="27">
        <v>44515</v>
      </c>
      <c r="R49" s="25" t="s">
        <v>163</v>
      </c>
      <c r="S49" s="25" t="s">
        <v>132</v>
      </c>
      <c r="T49" s="29">
        <v>44517</v>
      </c>
      <c r="U49" s="25" t="s">
        <v>164</v>
      </c>
      <c r="V49" s="25" t="s">
        <v>165</v>
      </c>
      <c r="W49" s="25"/>
      <c r="X49" s="25" t="s">
        <v>55</v>
      </c>
      <c r="Y49" s="25">
        <v>0</v>
      </c>
      <c r="Z49" s="27"/>
      <c r="AA49" s="46" t="s">
        <v>56</v>
      </c>
    </row>
    <row r="50" spans="1:27">
      <c r="A50" s="13">
        <v>51</v>
      </c>
      <c r="B50" s="9">
        <v>1</v>
      </c>
      <c r="C50" s="47" t="s">
        <v>166</v>
      </c>
      <c r="D50" s="13" t="s">
        <v>28</v>
      </c>
      <c r="E50" s="13" t="s">
        <v>135</v>
      </c>
      <c r="F50" s="13" t="s">
        <v>136</v>
      </c>
      <c r="G50" s="13" t="s">
        <v>157</v>
      </c>
      <c r="H50" s="13" t="str">
        <f>CONCATENATE(Table1[[#This Row],[LGA]],Table1[[#This Row],[Ward]],Table1[[#This Row],[Settlement]])</f>
        <v>YAKURRINYIMA/EKPETIBA EKPOTO</v>
      </c>
      <c r="I50" s="13">
        <v>15</v>
      </c>
      <c r="J50" s="13" t="s">
        <v>149</v>
      </c>
      <c r="K50" s="13" t="s">
        <v>50</v>
      </c>
      <c r="L50" s="40" t="s">
        <v>158</v>
      </c>
      <c r="M50" s="13">
        <v>20</v>
      </c>
      <c r="N50" s="20" t="s">
        <v>158</v>
      </c>
      <c r="O50" s="13" t="s">
        <v>140</v>
      </c>
      <c r="P50" s="13" t="s">
        <v>141</v>
      </c>
      <c r="Q50" s="20" t="s">
        <v>158</v>
      </c>
      <c r="R50" s="13" t="s">
        <v>106</v>
      </c>
      <c r="S50" s="13" t="s">
        <v>38</v>
      </c>
      <c r="T50" s="21"/>
      <c r="U50" s="13">
        <v>0</v>
      </c>
      <c r="V50" s="13">
        <v>0</v>
      </c>
      <c r="W50" s="13">
        <v>0</v>
      </c>
      <c r="X50" s="13" t="s">
        <v>39</v>
      </c>
      <c r="Y50" s="13">
        <v>0</v>
      </c>
      <c r="Z50" s="20" t="s">
        <v>158</v>
      </c>
      <c r="AA50" s="22" t="s">
        <v>72</v>
      </c>
    </row>
    <row r="51" spans="1:27">
      <c r="A51" s="9">
        <v>56</v>
      </c>
      <c r="B51" s="9">
        <v>1</v>
      </c>
      <c r="C51" s="10" t="s">
        <v>167</v>
      </c>
      <c r="D51" s="13" t="s">
        <v>28</v>
      </c>
      <c r="E51" s="13" t="s">
        <v>135</v>
      </c>
      <c r="F51" s="9" t="s">
        <v>136</v>
      </c>
      <c r="G51" s="9" t="s">
        <v>137</v>
      </c>
      <c r="H51" s="9" t="str">
        <f>CONCATENATE(Table1[[#This Row],[LGA]],Table1[[#This Row],[Ward]],Table1[[#This Row],[Settlement]])</f>
        <v>YAKURRINYIMA/EKPETIBA EKPARA</v>
      </c>
      <c r="I51" s="13">
        <v>15</v>
      </c>
      <c r="J51" s="13" t="s">
        <v>149</v>
      </c>
      <c r="K51" s="13" t="s">
        <v>33</v>
      </c>
      <c r="L51" s="40" t="s">
        <v>153</v>
      </c>
      <c r="M51" s="13">
        <v>20</v>
      </c>
      <c r="N51" s="20" t="s">
        <v>153</v>
      </c>
      <c r="O51" s="13" t="s">
        <v>140</v>
      </c>
      <c r="P51" s="13" t="s">
        <v>141</v>
      </c>
      <c r="Q51" s="20" t="s">
        <v>153</v>
      </c>
      <c r="R51" s="13" t="s">
        <v>106</v>
      </c>
      <c r="S51" s="13" t="s">
        <v>38</v>
      </c>
      <c r="T51" s="21"/>
      <c r="U51" s="13">
        <v>0</v>
      </c>
      <c r="V51" s="13">
        <v>0</v>
      </c>
      <c r="W51" s="13">
        <v>0</v>
      </c>
      <c r="X51" s="13" t="s">
        <v>39</v>
      </c>
      <c r="Y51" s="13">
        <v>0</v>
      </c>
      <c r="Z51" s="20" t="s">
        <v>153</v>
      </c>
      <c r="AA51" s="22" t="s">
        <v>72</v>
      </c>
    </row>
    <row r="52" spans="1:27">
      <c r="A52" s="9">
        <v>12</v>
      </c>
      <c r="B52" s="9">
        <v>1</v>
      </c>
      <c r="C52" s="10" t="s">
        <v>168</v>
      </c>
      <c r="D52" s="12" t="s">
        <v>28</v>
      </c>
      <c r="E52" s="12" t="s">
        <v>29</v>
      </c>
      <c r="F52" s="12" t="s">
        <v>30</v>
      </c>
      <c r="G52" s="12" t="s">
        <v>31</v>
      </c>
      <c r="H52" s="12" t="str">
        <f>CONCATENATE(Table1[[#This Row],[LGA]],Table1[[#This Row],[Ward]],Table1[[#This Row],[Settlement]])</f>
        <v>YakurrMkpani/Agoi Akugum Aduma</v>
      </c>
      <c r="I52" s="12">
        <v>16</v>
      </c>
      <c r="J52" s="12" t="s">
        <v>169</v>
      </c>
      <c r="K52" s="12" t="s">
        <v>33</v>
      </c>
      <c r="L52" s="33">
        <v>44379</v>
      </c>
      <c r="M52" s="11">
        <v>6</v>
      </c>
      <c r="N52" s="33">
        <v>44379</v>
      </c>
      <c r="O52" s="11" t="s">
        <v>35</v>
      </c>
      <c r="P52" s="11" t="s">
        <v>47</v>
      </c>
      <c r="Q52" s="33">
        <v>44379</v>
      </c>
      <c r="R52" s="11" t="s">
        <v>37</v>
      </c>
      <c r="S52" s="11" t="s">
        <v>38</v>
      </c>
      <c r="T52" s="15">
        <v>0</v>
      </c>
      <c r="U52" s="11">
        <v>0</v>
      </c>
      <c r="V52" s="11">
        <v>0</v>
      </c>
      <c r="W52" s="11">
        <v>0</v>
      </c>
      <c r="X52" s="13" t="s">
        <v>39</v>
      </c>
      <c r="Y52" s="16" t="s">
        <v>40</v>
      </c>
      <c r="Z52" s="35">
        <v>44235</v>
      </c>
      <c r="AA52" s="18"/>
    </row>
    <row r="53" spans="1:27">
      <c r="A53" s="25">
        <v>66</v>
      </c>
      <c r="B53" s="9">
        <v>1</v>
      </c>
      <c r="C53" s="24" t="s">
        <v>170</v>
      </c>
      <c r="D53" s="25" t="s">
        <v>28</v>
      </c>
      <c r="E53" s="25" t="s">
        <v>100</v>
      </c>
      <c r="F53" s="25" t="s">
        <v>101</v>
      </c>
      <c r="G53" s="25" t="s">
        <v>171</v>
      </c>
      <c r="H53" s="25" t="str">
        <f>CONCATENATE(Table1[[#This Row],[LGA]],Table1[[#This Row],[Ward]],Table1[[#This Row],[Settlement]])</f>
        <v>BAKASSIIKANGAUTHORITY FP</v>
      </c>
      <c r="I53" s="25">
        <v>17</v>
      </c>
      <c r="J53" s="12" t="s">
        <v>169</v>
      </c>
      <c r="K53" s="25" t="s">
        <v>33</v>
      </c>
      <c r="L53" s="27">
        <v>44207</v>
      </c>
      <c r="M53" s="25">
        <v>44</v>
      </c>
      <c r="N53" s="27">
        <v>44266</v>
      </c>
      <c r="O53" s="25" t="s">
        <v>172</v>
      </c>
      <c r="P53" s="25" t="s">
        <v>141</v>
      </c>
      <c r="Q53" s="27"/>
      <c r="R53" s="25" t="s">
        <v>106</v>
      </c>
      <c r="S53" s="25" t="s">
        <v>38</v>
      </c>
      <c r="T53" s="29"/>
      <c r="U53" s="25">
        <v>0</v>
      </c>
      <c r="V53" s="25">
        <v>0</v>
      </c>
      <c r="W53" s="25">
        <v>0</v>
      </c>
      <c r="X53" s="25" t="s">
        <v>55</v>
      </c>
      <c r="Y53" s="29">
        <v>44266</v>
      </c>
      <c r="Z53" s="27"/>
      <c r="AA53" s="46" t="s">
        <v>56</v>
      </c>
    </row>
    <row r="54" spans="1:27">
      <c r="A54" s="9">
        <v>48</v>
      </c>
      <c r="B54" s="9">
        <v>1</v>
      </c>
      <c r="C54" s="10" t="s">
        <v>173</v>
      </c>
      <c r="D54" s="13" t="s">
        <v>28</v>
      </c>
      <c r="E54" s="13" t="s">
        <v>135</v>
      </c>
      <c r="F54" s="9" t="s">
        <v>136</v>
      </c>
      <c r="G54" s="9" t="s">
        <v>157</v>
      </c>
      <c r="H54" s="9" t="str">
        <f>CONCATENATE(Table1[[#This Row],[LGA]],Table1[[#This Row],[Ward]],Table1[[#This Row],[Settlement]])</f>
        <v>YAKURRINYIMA/EKPETIBA EKPOTO</v>
      </c>
      <c r="I54" s="13">
        <v>18</v>
      </c>
      <c r="J54" s="12" t="s">
        <v>169</v>
      </c>
      <c r="K54" s="13" t="s">
        <v>50</v>
      </c>
      <c r="L54" s="40" t="s">
        <v>158</v>
      </c>
      <c r="M54" s="13">
        <v>20</v>
      </c>
      <c r="N54" s="20" t="s">
        <v>158</v>
      </c>
      <c r="O54" s="13" t="s">
        <v>140</v>
      </c>
      <c r="P54" s="13" t="s">
        <v>141</v>
      </c>
      <c r="Q54" s="20" t="s">
        <v>158</v>
      </c>
      <c r="R54" s="13" t="s">
        <v>106</v>
      </c>
      <c r="S54" s="13" t="s">
        <v>38</v>
      </c>
      <c r="T54" s="21"/>
      <c r="U54" s="13">
        <v>0</v>
      </c>
      <c r="V54" s="13">
        <v>0</v>
      </c>
      <c r="W54" s="13">
        <v>0</v>
      </c>
      <c r="X54" s="13" t="s">
        <v>39</v>
      </c>
      <c r="Y54" s="13">
        <v>0</v>
      </c>
      <c r="Z54" s="20" t="s">
        <v>158</v>
      </c>
      <c r="AA54" s="22" t="s">
        <v>72</v>
      </c>
    </row>
    <row r="55" spans="1:27">
      <c r="A55" s="9">
        <v>54</v>
      </c>
      <c r="B55" s="9">
        <v>1</v>
      </c>
      <c r="C55" s="10" t="s">
        <v>174</v>
      </c>
      <c r="D55" s="13" t="s">
        <v>28</v>
      </c>
      <c r="E55" s="13" t="s">
        <v>135</v>
      </c>
      <c r="F55" s="9" t="s">
        <v>136</v>
      </c>
      <c r="G55" s="9" t="s">
        <v>137</v>
      </c>
      <c r="H55" s="9" t="str">
        <f>CONCATENATE(Table1[[#This Row],[LGA]],Table1[[#This Row],[Ward]],Table1[[#This Row],[Settlement]])</f>
        <v>YAKURRINYIMA/EKPETIBA EKPARA</v>
      </c>
      <c r="I55" s="13">
        <v>19</v>
      </c>
      <c r="J55" s="12" t="s">
        <v>169</v>
      </c>
      <c r="K55" s="13" t="s">
        <v>50</v>
      </c>
      <c r="L55" s="40" t="s">
        <v>158</v>
      </c>
      <c r="M55" s="13">
        <v>20</v>
      </c>
      <c r="N55" s="20" t="s">
        <v>158</v>
      </c>
      <c r="O55" s="13" t="s">
        <v>140</v>
      </c>
      <c r="P55" s="13" t="s">
        <v>141</v>
      </c>
      <c r="Q55" s="20" t="s">
        <v>158</v>
      </c>
      <c r="R55" s="13" t="s">
        <v>106</v>
      </c>
      <c r="S55" s="13" t="s">
        <v>38</v>
      </c>
      <c r="T55" s="21"/>
      <c r="U55" s="13">
        <v>0</v>
      </c>
      <c r="V55" s="13">
        <v>0</v>
      </c>
      <c r="W55" s="13">
        <v>0</v>
      </c>
      <c r="X55" s="13" t="s">
        <v>39</v>
      </c>
      <c r="Y55" s="13">
        <v>0</v>
      </c>
      <c r="Z55" s="20" t="s">
        <v>158</v>
      </c>
      <c r="AA55" s="22" t="s">
        <v>72</v>
      </c>
    </row>
    <row r="56" spans="1:27">
      <c r="A56" s="9">
        <v>52</v>
      </c>
      <c r="B56" s="9">
        <v>1</v>
      </c>
      <c r="C56" s="10" t="s">
        <v>175</v>
      </c>
      <c r="D56" s="13" t="s">
        <v>28</v>
      </c>
      <c r="E56" s="13" t="s">
        <v>135</v>
      </c>
      <c r="F56" s="9" t="s">
        <v>136</v>
      </c>
      <c r="G56" s="9" t="s">
        <v>137</v>
      </c>
      <c r="H56" s="9" t="str">
        <f>CONCATENATE(Table1[[#This Row],[LGA]],Table1[[#This Row],[Ward]],Table1[[#This Row],[Settlement]])</f>
        <v>YAKURRINYIMA/EKPETIBA EKPARA</v>
      </c>
      <c r="I56" s="13">
        <v>20</v>
      </c>
      <c r="J56" s="12" t="s">
        <v>169</v>
      </c>
      <c r="K56" s="13" t="s">
        <v>50</v>
      </c>
      <c r="L56" s="40" t="s">
        <v>158</v>
      </c>
      <c r="M56" s="13">
        <v>20</v>
      </c>
      <c r="N56" s="20" t="s">
        <v>158</v>
      </c>
      <c r="O56" s="13" t="s">
        <v>140</v>
      </c>
      <c r="P56" s="13" t="s">
        <v>141</v>
      </c>
      <c r="Q56" s="20" t="s">
        <v>158</v>
      </c>
      <c r="R56" s="13" t="s">
        <v>106</v>
      </c>
      <c r="S56" s="13" t="s">
        <v>38</v>
      </c>
      <c r="T56" s="21"/>
      <c r="U56" s="13">
        <v>0</v>
      </c>
      <c r="V56" s="13">
        <v>0</v>
      </c>
      <c r="W56" s="13">
        <v>0</v>
      </c>
      <c r="X56" s="13" t="s">
        <v>39</v>
      </c>
      <c r="Y56" s="13">
        <v>0</v>
      </c>
      <c r="Z56" s="20" t="s">
        <v>158</v>
      </c>
      <c r="AA56" s="22" t="s">
        <v>72</v>
      </c>
    </row>
    <row r="57" spans="1:27">
      <c r="A57" s="9">
        <v>57</v>
      </c>
      <c r="B57" s="9">
        <v>1</v>
      </c>
      <c r="C57" s="10" t="s">
        <v>176</v>
      </c>
      <c r="D57" s="13" t="s">
        <v>28</v>
      </c>
      <c r="E57" s="13" t="s">
        <v>135</v>
      </c>
      <c r="F57" s="9" t="s">
        <v>136</v>
      </c>
      <c r="G57" s="9" t="s">
        <v>137</v>
      </c>
      <c r="H57" s="9" t="str">
        <f>CONCATENATE(Table1[[#This Row],[LGA]],Table1[[#This Row],[Ward]],Table1[[#This Row],[Settlement]])</f>
        <v>YAKURRINYIMA/EKPETIBA EKPARA</v>
      </c>
      <c r="I57" s="13">
        <v>23</v>
      </c>
      <c r="J57" s="13" t="s">
        <v>177</v>
      </c>
      <c r="K57" s="13" t="s">
        <v>50</v>
      </c>
      <c r="L57" s="40" t="s">
        <v>153</v>
      </c>
      <c r="M57" s="13">
        <v>20</v>
      </c>
      <c r="N57" s="20" t="s">
        <v>153</v>
      </c>
      <c r="O57" s="13" t="s">
        <v>140</v>
      </c>
      <c r="P57" s="13" t="s">
        <v>141</v>
      </c>
      <c r="Q57" s="20" t="s">
        <v>153</v>
      </c>
      <c r="R57" s="13" t="s">
        <v>106</v>
      </c>
      <c r="S57" s="13" t="s">
        <v>38</v>
      </c>
      <c r="T57" s="21"/>
      <c r="U57" s="13">
        <v>0</v>
      </c>
      <c r="V57" s="13">
        <v>0</v>
      </c>
      <c r="W57" s="13">
        <v>0</v>
      </c>
      <c r="X57" s="13" t="s">
        <v>39</v>
      </c>
      <c r="Y57" s="13">
        <v>0</v>
      </c>
      <c r="Z57" s="20" t="s">
        <v>153</v>
      </c>
      <c r="AA57" s="22" t="s">
        <v>72</v>
      </c>
    </row>
    <row r="58" spans="1:27">
      <c r="A58" s="9">
        <v>73</v>
      </c>
      <c r="B58" s="9">
        <v>1</v>
      </c>
      <c r="C58" s="10" t="s">
        <v>178</v>
      </c>
      <c r="D58" s="13" t="s">
        <v>28</v>
      </c>
      <c r="E58" s="13" t="s">
        <v>117</v>
      </c>
      <c r="F58" s="9" t="s">
        <v>179</v>
      </c>
      <c r="G58" s="9" t="s">
        <v>180</v>
      </c>
      <c r="H58" s="9" t="str">
        <f>CONCATENATE(Table1[[#This Row],[LGA]],Table1[[#This Row],[Ward]],Table1[[#This Row],[Settlement]])</f>
        <v>CAL MUNICIPALEDIM OTOPABA STREET, CAL</v>
      </c>
      <c r="I58" s="13">
        <v>24</v>
      </c>
      <c r="J58" s="13" t="s">
        <v>177</v>
      </c>
      <c r="K58" s="13" t="s">
        <v>50</v>
      </c>
      <c r="L58" s="20">
        <v>44266</v>
      </c>
      <c r="M58" s="13">
        <v>44</v>
      </c>
      <c r="N58" s="27">
        <v>44419</v>
      </c>
      <c r="O58" s="13" t="s">
        <v>68</v>
      </c>
      <c r="P58" s="13" t="s">
        <v>69</v>
      </c>
      <c r="Q58" s="20">
        <v>44419</v>
      </c>
      <c r="R58" s="13"/>
      <c r="S58" s="13" t="s">
        <v>38</v>
      </c>
      <c r="T58" s="21"/>
      <c r="U58" s="13">
        <v>0</v>
      </c>
      <c r="V58" s="13">
        <v>0</v>
      </c>
      <c r="W58" s="13">
        <v>0</v>
      </c>
      <c r="X58" s="13" t="s">
        <v>70</v>
      </c>
      <c r="Y58" s="13">
        <v>0</v>
      </c>
      <c r="Z58" s="20">
        <v>44419</v>
      </c>
      <c r="AA58" s="22" t="s">
        <v>72</v>
      </c>
    </row>
    <row r="59" spans="1:27">
      <c r="A59" s="9">
        <v>42</v>
      </c>
      <c r="B59" s="9">
        <v>1</v>
      </c>
      <c r="C59" s="10" t="s">
        <v>181</v>
      </c>
      <c r="D59" s="13" t="s">
        <v>28</v>
      </c>
      <c r="E59" s="13" t="s">
        <v>135</v>
      </c>
      <c r="F59" s="9" t="s">
        <v>136</v>
      </c>
      <c r="G59" s="9" t="s">
        <v>157</v>
      </c>
      <c r="H59" s="9" t="str">
        <f>CONCATENATE(Table1[[#This Row],[LGA]],Table1[[#This Row],[Ward]],Table1[[#This Row],[Settlement]])</f>
        <v>YAKURRINYIMA/EKPETIBA EKPOTO</v>
      </c>
      <c r="I59" s="13">
        <v>25</v>
      </c>
      <c r="J59" s="13" t="s">
        <v>177</v>
      </c>
      <c r="K59" s="13" t="s">
        <v>33</v>
      </c>
      <c r="L59" s="40" t="s">
        <v>158</v>
      </c>
      <c r="M59" s="13">
        <v>20</v>
      </c>
      <c r="N59" s="20" t="s">
        <v>158</v>
      </c>
      <c r="O59" s="13" t="s">
        <v>140</v>
      </c>
      <c r="P59" s="13" t="s">
        <v>141</v>
      </c>
      <c r="Q59" s="20" t="s">
        <v>158</v>
      </c>
      <c r="R59" s="13" t="s">
        <v>106</v>
      </c>
      <c r="S59" s="13" t="s">
        <v>38</v>
      </c>
      <c r="T59" s="21"/>
      <c r="U59" s="13">
        <v>0</v>
      </c>
      <c r="V59" s="13">
        <v>0</v>
      </c>
      <c r="W59" s="13">
        <v>0</v>
      </c>
      <c r="X59" s="13" t="s">
        <v>39</v>
      </c>
      <c r="Y59" s="13">
        <v>0</v>
      </c>
      <c r="Z59" s="20" t="s">
        <v>153</v>
      </c>
      <c r="AA59" s="22" t="s">
        <v>72</v>
      </c>
    </row>
    <row r="60" spans="1:27">
      <c r="A60" s="9">
        <v>55</v>
      </c>
      <c r="B60" s="9">
        <v>1</v>
      </c>
      <c r="C60" s="10" t="s">
        <v>182</v>
      </c>
      <c r="D60" s="13" t="s">
        <v>28</v>
      </c>
      <c r="E60" s="13" t="s">
        <v>135</v>
      </c>
      <c r="F60" s="9" t="s">
        <v>136</v>
      </c>
      <c r="G60" s="9" t="s">
        <v>137</v>
      </c>
      <c r="H60" s="9" t="str">
        <f>CONCATENATE(Table1[[#This Row],[LGA]],Table1[[#This Row],[Ward]],Table1[[#This Row],[Settlement]])</f>
        <v>YAKURRINYIMA/EKPETIBA EKPARA</v>
      </c>
      <c r="I60" s="13">
        <v>27</v>
      </c>
      <c r="J60" s="13" t="s">
        <v>183</v>
      </c>
      <c r="K60" s="13" t="s">
        <v>33</v>
      </c>
      <c r="L60" s="40" t="s">
        <v>153</v>
      </c>
      <c r="M60" s="13">
        <v>20</v>
      </c>
      <c r="N60" s="20" t="s">
        <v>153</v>
      </c>
      <c r="O60" s="13" t="s">
        <v>140</v>
      </c>
      <c r="P60" s="13" t="s">
        <v>141</v>
      </c>
      <c r="Q60" s="20" t="s">
        <v>153</v>
      </c>
      <c r="R60" s="13" t="s">
        <v>106</v>
      </c>
      <c r="S60" s="13" t="s">
        <v>38</v>
      </c>
      <c r="T60" s="21"/>
      <c r="U60" s="13">
        <v>0</v>
      </c>
      <c r="V60" s="13">
        <v>0</v>
      </c>
      <c r="W60" s="13">
        <v>0</v>
      </c>
      <c r="X60" s="13" t="s">
        <v>39</v>
      </c>
      <c r="Y60" s="13">
        <v>0</v>
      </c>
      <c r="Z60" s="20" t="s">
        <v>153</v>
      </c>
      <c r="AA60" s="22" t="s">
        <v>72</v>
      </c>
    </row>
    <row r="61" spans="1:27">
      <c r="A61" s="9">
        <v>63</v>
      </c>
      <c r="B61" s="9">
        <v>1</v>
      </c>
      <c r="C61" s="10" t="s">
        <v>184</v>
      </c>
      <c r="D61" s="13" t="s">
        <v>28</v>
      </c>
      <c r="E61" s="13" t="s">
        <v>135</v>
      </c>
      <c r="F61" s="9" t="s">
        <v>136</v>
      </c>
      <c r="G61" s="9" t="s">
        <v>137</v>
      </c>
      <c r="H61" s="9" t="str">
        <f>CONCATENATE(Table1[[#This Row],[LGA]],Table1[[#This Row],[Ward]],Table1[[#This Row],[Settlement]])</f>
        <v>YAKURRINYIMA/EKPETIBA EKPARA</v>
      </c>
      <c r="I61" s="13">
        <v>27</v>
      </c>
      <c r="J61" s="13" t="s">
        <v>183</v>
      </c>
      <c r="K61" s="13" t="s">
        <v>33</v>
      </c>
      <c r="L61" s="20" t="s">
        <v>143</v>
      </c>
      <c r="M61" s="13">
        <v>20</v>
      </c>
      <c r="N61" s="27" t="s">
        <v>143</v>
      </c>
      <c r="O61" s="13" t="s">
        <v>140</v>
      </c>
      <c r="P61" s="13" t="s">
        <v>141</v>
      </c>
      <c r="Q61" s="20" t="s">
        <v>143</v>
      </c>
      <c r="R61" s="13" t="s">
        <v>106</v>
      </c>
      <c r="S61" s="13" t="s">
        <v>38</v>
      </c>
      <c r="T61" s="21"/>
      <c r="U61" s="13">
        <v>0</v>
      </c>
      <c r="V61" s="13">
        <v>0</v>
      </c>
      <c r="W61" s="13">
        <v>0</v>
      </c>
      <c r="X61" s="13" t="s">
        <v>39</v>
      </c>
      <c r="Y61" s="13">
        <v>0</v>
      </c>
      <c r="Z61" s="20" t="s">
        <v>143</v>
      </c>
      <c r="AA61" s="22" t="s">
        <v>72</v>
      </c>
    </row>
    <row r="62" spans="1:27">
      <c r="A62" s="9">
        <v>44</v>
      </c>
      <c r="B62" s="9">
        <v>1</v>
      </c>
      <c r="C62" s="10" t="s">
        <v>185</v>
      </c>
      <c r="D62" s="13" t="s">
        <v>28</v>
      </c>
      <c r="E62" s="13" t="s">
        <v>135</v>
      </c>
      <c r="F62" s="9" t="s">
        <v>136</v>
      </c>
      <c r="G62" s="9" t="s">
        <v>186</v>
      </c>
      <c r="H62" s="2" t="str">
        <f>CONCATENATE(Table1[[#This Row],[LGA]],Table1[[#This Row],[Ward]],Table1[[#This Row],[Settlement]])</f>
        <v>YAKURRINYIMA/EKPETIBA ESORGOR</v>
      </c>
      <c r="I62" s="13">
        <v>29</v>
      </c>
      <c r="J62" s="13" t="s">
        <v>183</v>
      </c>
      <c r="K62" s="13" t="s">
        <v>50</v>
      </c>
      <c r="L62" s="40" t="s">
        <v>158</v>
      </c>
      <c r="M62" s="13">
        <v>20</v>
      </c>
      <c r="N62" s="20" t="s">
        <v>158</v>
      </c>
      <c r="O62" s="13" t="s">
        <v>140</v>
      </c>
      <c r="P62" s="13" t="s">
        <v>141</v>
      </c>
      <c r="Q62" s="20" t="s">
        <v>158</v>
      </c>
      <c r="R62" s="13" t="s">
        <v>106</v>
      </c>
      <c r="S62" s="13" t="s">
        <v>38</v>
      </c>
      <c r="T62" s="21"/>
      <c r="U62" s="13">
        <v>0</v>
      </c>
      <c r="V62" s="13">
        <v>0</v>
      </c>
      <c r="W62" s="13">
        <v>0</v>
      </c>
      <c r="X62" s="13" t="s">
        <v>39</v>
      </c>
      <c r="Y62" s="13">
        <v>0</v>
      </c>
      <c r="Z62" s="20" t="s">
        <v>158</v>
      </c>
      <c r="AA62" s="22" t="s">
        <v>72</v>
      </c>
    </row>
    <row r="63" spans="1:27">
      <c r="A63" s="9">
        <v>16</v>
      </c>
      <c r="B63" s="9">
        <v>1</v>
      </c>
      <c r="C63" s="10" t="s">
        <v>187</v>
      </c>
      <c r="D63" s="12" t="s">
        <v>28</v>
      </c>
      <c r="E63" s="12" t="s">
        <v>29</v>
      </c>
      <c r="F63" s="12" t="s">
        <v>30</v>
      </c>
      <c r="G63" s="12" t="s">
        <v>59</v>
      </c>
      <c r="H63" s="12" t="str">
        <f>CONCATENATE(Table1[[#This Row],[LGA]],Table1[[#This Row],[Ward]],Table1[[#This Row],[Settlement]])</f>
        <v>YakurrMkpani/Agoi Ijiman Agoi Ekpo</v>
      </c>
      <c r="I63" s="11">
        <v>30</v>
      </c>
      <c r="J63" s="13" t="s">
        <v>183</v>
      </c>
      <c r="K63" s="11" t="s">
        <v>33</v>
      </c>
      <c r="L63" s="32">
        <v>44441</v>
      </c>
      <c r="M63" s="11">
        <v>6</v>
      </c>
      <c r="N63" s="32">
        <v>44441</v>
      </c>
      <c r="O63" s="11" t="s">
        <v>61</v>
      </c>
      <c r="P63" s="11" t="s">
        <v>36</v>
      </c>
      <c r="Q63" s="32"/>
      <c r="R63" s="11" t="s">
        <v>37</v>
      </c>
      <c r="S63" s="11" t="s">
        <v>38</v>
      </c>
      <c r="T63" s="15">
        <v>0</v>
      </c>
      <c r="U63" s="11">
        <v>0</v>
      </c>
      <c r="V63" s="11">
        <v>0</v>
      </c>
      <c r="W63" s="11">
        <v>0</v>
      </c>
      <c r="X63" s="13" t="s">
        <v>39</v>
      </c>
      <c r="Y63" s="16" t="s">
        <v>40</v>
      </c>
      <c r="Z63" s="17"/>
      <c r="AA63" s="18"/>
    </row>
    <row r="64" spans="1:27">
      <c r="A64" s="9">
        <v>17</v>
      </c>
      <c r="B64" s="9">
        <v>1</v>
      </c>
      <c r="C64" s="10" t="s">
        <v>188</v>
      </c>
      <c r="D64" s="12" t="s">
        <v>28</v>
      </c>
      <c r="E64" s="11" t="s">
        <v>29</v>
      </c>
      <c r="F64" s="12" t="s">
        <v>30</v>
      </c>
      <c r="G64" s="12" t="s">
        <v>59</v>
      </c>
      <c r="H64" s="12" t="str">
        <f>CONCATENATE(Table1[[#This Row],[LGA]],Table1[[#This Row],[Ward]],Table1[[#This Row],[Settlement]])</f>
        <v>YakurrMkpani/Agoi Ijiman Agoi Ekpo</v>
      </c>
      <c r="I64" s="11">
        <v>30</v>
      </c>
      <c r="J64" s="13" t="s">
        <v>183</v>
      </c>
      <c r="K64" s="11" t="s">
        <v>50</v>
      </c>
      <c r="L64" s="32">
        <v>44441</v>
      </c>
      <c r="M64" s="11">
        <v>6</v>
      </c>
      <c r="N64" s="32">
        <v>44441</v>
      </c>
      <c r="O64" s="11" t="s">
        <v>61</v>
      </c>
      <c r="P64" s="11" t="s">
        <v>47</v>
      </c>
      <c r="Q64" s="32">
        <v>44441</v>
      </c>
      <c r="R64" s="11" t="s">
        <v>37</v>
      </c>
      <c r="S64" s="11" t="s">
        <v>38</v>
      </c>
      <c r="T64" s="15">
        <v>0</v>
      </c>
      <c r="U64" s="11">
        <v>0</v>
      </c>
      <c r="V64" s="11">
        <v>0</v>
      </c>
      <c r="W64" s="11">
        <v>0</v>
      </c>
      <c r="X64" s="13" t="s">
        <v>39</v>
      </c>
      <c r="Y64" s="16" t="s">
        <v>40</v>
      </c>
      <c r="Z64" s="17">
        <v>44237</v>
      </c>
      <c r="AA64" s="18"/>
    </row>
    <row r="65" spans="1:27">
      <c r="A65" s="9">
        <v>21</v>
      </c>
      <c r="B65" s="9">
        <v>1</v>
      </c>
      <c r="C65" s="10" t="s">
        <v>189</v>
      </c>
      <c r="D65" s="11" t="s">
        <v>28</v>
      </c>
      <c r="E65" s="11" t="s">
        <v>29</v>
      </c>
      <c r="F65" s="12" t="s">
        <v>30</v>
      </c>
      <c r="G65" s="12" t="s">
        <v>31</v>
      </c>
      <c r="H65" s="12" t="str">
        <f>CONCATENATE(Table1[[#This Row],[LGA]],Table1[[#This Row],[Ward]],Table1[[#This Row],[Settlement]])</f>
        <v>YakurrMkpani/Agoi Akugum Aduma</v>
      </c>
      <c r="I65" s="11">
        <v>30</v>
      </c>
      <c r="J65" s="13" t="s">
        <v>183</v>
      </c>
      <c r="K65" s="11" t="s">
        <v>50</v>
      </c>
      <c r="L65" s="32">
        <v>44532</v>
      </c>
      <c r="M65" s="11">
        <v>6</v>
      </c>
      <c r="N65" s="32">
        <v>44532</v>
      </c>
      <c r="O65" s="11"/>
      <c r="P65" s="11"/>
      <c r="Q65" s="32"/>
      <c r="R65" s="11" t="s">
        <v>190</v>
      </c>
      <c r="S65" s="11" t="s">
        <v>38</v>
      </c>
      <c r="T65" s="15">
        <v>0</v>
      </c>
      <c r="U65" s="11">
        <v>0</v>
      </c>
      <c r="V65" s="11">
        <v>0</v>
      </c>
      <c r="W65" s="11">
        <v>0</v>
      </c>
      <c r="X65" s="13" t="s">
        <v>39</v>
      </c>
      <c r="Y65" s="16" t="s">
        <v>40</v>
      </c>
      <c r="Z65" s="17"/>
      <c r="AA65" s="18"/>
    </row>
    <row r="66" spans="1:27">
      <c r="A66" s="9">
        <v>50</v>
      </c>
      <c r="B66" s="9">
        <v>1</v>
      </c>
      <c r="C66" s="10" t="s">
        <v>191</v>
      </c>
      <c r="D66" s="13" t="s">
        <v>28</v>
      </c>
      <c r="E66" s="13" t="s">
        <v>135</v>
      </c>
      <c r="F66" s="9" t="s">
        <v>136</v>
      </c>
      <c r="G66" s="9" t="s">
        <v>157</v>
      </c>
      <c r="H66" s="9" t="str">
        <f>CONCATENATE(Table1[[#This Row],[LGA]],Table1[[#This Row],[Ward]],Table1[[#This Row],[Settlement]])</f>
        <v>YAKURRINYIMA/EKPETIBA EKPOTO</v>
      </c>
      <c r="I66" s="13">
        <v>34</v>
      </c>
      <c r="J66" s="13" t="s">
        <v>192</v>
      </c>
      <c r="K66" s="13" t="s">
        <v>50</v>
      </c>
      <c r="L66" s="40" t="s">
        <v>158</v>
      </c>
      <c r="M66" s="13">
        <v>20</v>
      </c>
      <c r="N66" s="20" t="s">
        <v>158</v>
      </c>
      <c r="O66" s="13" t="s">
        <v>140</v>
      </c>
      <c r="P66" s="13" t="s">
        <v>141</v>
      </c>
      <c r="Q66" s="20" t="s">
        <v>158</v>
      </c>
      <c r="R66" s="13" t="s">
        <v>106</v>
      </c>
      <c r="S66" s="13" t="s">
        <v>38</v>
      </c>
      <c r="T66" s="21"/>
      <c r="U66" s="13">
        <v>0</v>
      </c>
      <c r="V66" s="13">
        <v>0</v>
      </c>
      <c r="W66" s="13">
        <v>0</v>
      </c>
      <c r="X66" s="13" t="s">
        <v>39</v>
      </c>
      <c r="Y66" s="13">
        <v>0</v>
      </c>
      <c r="Z66" s="20" t="s">
        <v>158</v>
      </c>
      <c r="AA66" s="22" t="s">
        <v>72</v>
      </c>
    </row>
    <row r="67" spans="1:27" s="39" customFormat="1">
      <c r="A67" s="9">
        <v>64</v>
      </c>
      <c r="B67" s="9">
        <v>1</v>
      </c>
      <c r="C67" s="10" t="s">
        <v>193</v>
      </c>
      <c r="D67" s="13" t="s">
        <v>28</v>
      </c>
      <c r="E67" s="13" t="s">
        <v>135</v>
      </c>
      <c r="F67" s="9" t="s">
        <v>136</v>
      </c>
      <c r="G67" s="9" t="s">
        <v>137</v>
      </c>
      <c r="H67" s="9" t="str">
        <f>CONCATENATE(Table1[[#This Row],[LGA]],Table1[[#This Row],[Ward]],Table1[[#This Row],[Settlement]])</f>
        <v>YAKURRINYIMA/EKPETIBA EKPARA</v>
      </c>
      <c r="I67" s="13">
        <v>34</v>
      </c>
      <c r="J67" s="13" t="s">
        <v>192</v>
      </c>
      <c r="K67" s="13" t="s">
        <v>33</v>
      </c>
      <c r="L67" s="20" t="s">
        <v>143</v>
      </c>
      <c r="M67" s="13">
        <v>20</v>
      </c>
      <c r="N67" s="27" t="s">
        <v>143</v>
      </c>
      <c r="O67" s="13" t="s">
        <v>140</v>
      </c>
      <c r="P67" s="13" t="s">
        <v>141</v>
      </c>
      <c r="Q67" s="20" t="s">
        <v>143</v>
      </c>
      <c r="R67" s="13" t="s">
        <v>106</v>
      </c>
      <c r="S67" s="13" t="s">
        <v>38</v>
      </c>
      <c r="T67" s="21"/>
      <c r="U67" s="13">
        <v>0</v>
      </c>
      <c r="V67" s="13">
        <v>0</v>
      </c>
      <c r="W67" s="13">
        <v>0</v>
      </c>
      <c r="X67" s="13" t="s">
        <v>39</v>
      </c>
      <c r="Y67" s="13">
        <v>0</v>
      </c>
      <c r="Z67" s="20" t="s">
        <v>143</v>
      </c>
      <c r="AA67" s="22" t="s">
        <v>72</v>
      </c>
    </row>
    <row r="68" spans="1:27" s="39" customFormat="1">
      <c r="A68" s="25">
        <v>67</v>
      </c>
      <c r="B68" s="9">
        <v>1</v>
      </c>
      <c r="C68" s="24" t="s">
        <v>194</v>
      </c>
      <c r="D68" s="25" t="s">
        <v>28</v>
      </c>
      <c r="E68" s="25" t="s">
        <v>100</v>
      </c>
      <c r="F68" s="25" t="s">
        <v>101</v>
      </c>
      <c r="G68" s="25" t="s">
        <v>171</v>
      </c>
      <c r="H68" s="25" t="str">
        <f>CONCATENATE(Table1[[#This Row],[LGA]],Table1[[#This Row],[Ward]],Table1[[#This Row],[Settlement]])</f>
        <v>BAKASSIIKANGAUTHORITY FP</v>
      </c>
      <c r="I68" s="25">
        <v>36</v>
      </c>
      <c r="J68" s="13" t="s">
        <v>192</v>
      </c>
      <c r="K68" s="25" t="s">
        <v>33</v>
      </c>
      <c r="L68" s="27">
        <v>44297</v>
      </c>
      <c r="M68" s="25">
        <v>44</v>
      </c>
      <c r="N68" s="27">
        <v>44327</v>
      </c>
      <c r="O68" s="25" t="s">
        <v>105</v>
      </c>
      <c r="P68" s="25"/>
      <c r="Q68" s="27">
        <v>44327</v>
      </c>
      <c r="R68" s="25" t="s">
        <v>106</v>
      </c>
      <c r="S68" s="25" t="s">
        <v>38</v>
      </c>
      <c r="T68" s="29"/>
      <c r="U68" s="25">
        <v>0</v>
      </c>
      <c r="V68" s="25">
        <v>0</v>
      </c>
      <c r="W68" s="25">
        <v>0</v>
      </c>
      <c r="X68" s="25" t="s">
        <v>55</v>
      </c>
      <c r="Y68" s="29">
        <v>44327</v>
      </c>
      <c r="Z68" s="27"/>
      <c r="AA68" s="46" t="s">
        <v>56</v>
      </c>
    </row>
    <row r="69" spans="1:27">
      <c r="A69" s="9">
        <v>60</v>
      </c>
      <c r="B69" s="9">
        <v>1</v>
      </c>
      <c r="C69" s="10" t="s">
        <v>195</v>
      </c>
      <c r="D69" s="13" t="s">
        <v>28</v>
      </c>
      <c r="E69" s="13" t="s">
        <v>135</v>
      </c>
      <c r="F69" s="9" t="s">
        <v>136</v>
      </c>
      <c r="G69" s="9" t="s">
        <v>137</v>
      </c>
      <c r="H69" s="9" t="str">
        <f>CONCATENATE(Table1[[#This Row],[LGA]],Table1[[#This Row],[Ward]],Table1[[#This Row],[Settlement]])</f>
        <v>YAKURRINYIMA/EKPETIBA EKPARA</v>
      </c>
      <c r="I69" s="13">
        <v>41</v>
      </c>
      <c r="J69" s="13" t="s">
        <v>196</v>
      </c>
      <c r="K69" s="13" t="s">
        <v>33</v>
      </c>
      <c r="L69" s="40" t="s">
        <v>143</v>
      </c>
      <c r="M69" s="13">
        <v>20</v>
      </c>
      <c r="N69" s="20" t="s">
        <v>143</v>
      </c>
      <c r="O69" s="13" t="s">
        <v>140</v>
      </c>
      <c r="P69" s="13" t="s">
        <v>141</v>
      </c>
      <c r="Q69" s="20" t="s">
        <v>143</v>
      </c>
      <c r="R69" s="13" t="s">
        <v>106</v>
      </c>
      <c r="S69" s="13" t="s">
        <v>38</v>
      </c>
      <c r="T69" s="21"/>
      <c r="U69" s="13">
        <v>0</v>
      </c>
      <c r="V69" s="13">
        <v>0</v>
      </c>
      <c r="W69" s="13">
        <v>0</v>
      </c>
      <c r="X69" s="13" t="s">
        <v>39</v>
      </c>
      <c r="Y69" s="13">
        <v>0</v>
      </c>
      <c r="Z69" s="20" t="s">
        <v>143</v>
      </c>
      <c r="AA69" s="22" t="s">
        <v>72</v>
      </c>
    </row>
    <row r="70" spans="1:27">
      <c r="A70" s="9">
        <v>70</v>
      </c>
      <c r="B70" s="9">
        <v>1</v>
      </c>
      <c r="C70" s="10" t="s">
        <v>197</v>
      </c>
      <c r="D70" s="13" t="s">
        <v>28</v>
      </c>
      <c r="E70" s="13" t="s">
        <v>117</v>
      </c>
      <c r="F70" s="9" t="s">
        <v>198</v>
      </c>
      <c r="G70" s="9" t="s">
        <v>199</v>
      </c>
      <c r="H70" s="9" t="str">
        <f>CONCATENATE(Table1[[#This Row],[LGA]],Table1[[#This Row],[Ward]],Table1[[#This Row],[Settlement]])</f>
        <v>CAL MUNICIPALEDIBAWATER BOARD</v>
      </c>
      <c r="I70" s="13">
        <v>42</v>
      </c>
      <c r="J70" s="13" t="s">
        <v>196</v>
      </c>
      <c r="K70" s="13" t="s">
        <v>50</v>
      </c>
      <c r="L70" s="20" t="s">
        <v>120</v>
      </c>
      <c r="M70" s="13">
        <v>43</v>
      </c>
      <c r="N70" s="27">
        <v>44207</v>
      </c>
      <c r="O70" s="13" t="s">
        <v>68</v>
      </c>
      <c r="P70" s="13" t="s">
        <v>69</v>
      </c>
      <c r="Q70" s="20">
        <v>44207</v>
      </c>
      <c r="R70" s="13"/>
      <c r="S70" s="13" t="s">
        <v>38</v>
      </c>
      <c r="T70" s="21"/>
      <c r="U70" s="13">
        <v>0</v>
      </c>
      <c r="V70" s="13">
        <v>0</v>
      </c>
      <c r="W70" s="13">
        <v>0</v>
      </c>
      <c r="X70" s="13" t="s">
        <v>70</v>
      </c>
      <c r="Y70" s="13">
        <v>0</v>
      </c>
      <c r="Z70" s="20">
        <v>44450</v>
      </c>
      <c r="AA70" s="22" t="s">
        <v>72</v>
      </c>
    </row>
    <row r="71" spans="1:27">
      <c r="A71" s="9">
        <v>34</v>
      </c>
      <c r="B71" s="9">
        <v>1</v>
      </c>
      <c r="C71" s="10" t="s">
        <v>200</v>
      </c>
      <c r="D71" s="13" t="s">
        <v>28</v>
      </c>
      <c r="E71" s="13" t="s">
        <v>29</v>
      </c>
      <c r="F71" s="9" t="s">
        <v>30</v>
      </c>
      <c r="G71" s="9" t="s">
        <v>59</v>
      </c>
      <c r="H71" s="9" t="str">
        <f>CONCATENATE(Table1[[#This Row],[LGA]],Table1[[#This Row],[Ward]],Table1[[#This Row],[Settlement]])</f>
        <v>YakurrMkpani/Agoi Ijiman Agoi Ekpo</v>
      </c>
      <c r="I71" s="13">
        <v>45</v>
      </c>
      <c r="J71" s="13" t="s">
        <v>196</v>
      </c>
      <c r="K71" s="13" t="s">
        <v>50</v>
      </c>
      <c r="L71" s="14" t="s">
        <v>201</v>
      </c>
      <c r="M71" s="13">
        <v>7</v>
      </c>
      <c r="N71" s="14" t="s">
        <v>201</v>
      </c>
      <c r="O71" s="13" t="s">
        <v>61</v>
      </c>
      <c r="P71" s="13" t="s">
        <v>36</v>
      </c>
      <c r="Q71" s="14"/>
      <c r="R71" s="13" t="s">
        <v>37</v>
      </c>
      <c r="S71" s="13" t="s">
        <v>132</v>
      </c>
      <c r="T71" s="21" t="s">
        <v>202</v>
      </c>
      <c r="U71" s="13">
        <v>0</v>
      </c>
      <c r="V71" s="13" t="s">
        <v>203</v>
      </c>
      <c r="W71" s="13">
        <v>0</v>
      </c>
      <c r="X71" s="13" t="s">
        <v>39</v>
      </c>
      <c r="Y71" s="16" t="s">
        <v>40</v>
      </c>
      <c r="Z71" s="20"/>
      <c r="AA71" s="22"/>
    </row>
    <row r="72" spans="1:27">
      <c r="A72" s="9">
        <v>43</v>
      </c>
      <c r="B72" s="9">
        <v>1</v>
      </c>
      <c r="C72" s="10" t="s">
        <v>204</v>
      </c>
      <c r="D72" s="13" t="s">
        <v>28</v>
      </c>
      <c r="E72" s="13" t="s">
        <v>135</v>
      </c>
      <c r="F72" s="9" t="s">
        <v>136</v>
      </c>
      <c r="G72" s="9" t="s">
        <v>186</v>
      </c>
      <c r="H72" s="9" t="str">
        <f>CONCATENATE(Table1[[#This Row],[LGA]],Table1[[#This Row],[Ward]],Table1[[#This Row],[Settlement]])</f>
        <v>YAKURRINYIMA/EKPETIBA ESORGOR</v>
      </c>
      <c r="I72" s="13">
        <v>45</v>
      </c>
      <c r="J72" s="13" t="s">
        <v>196</v>
      </c>
      <c r="K72" s="13" t="s">
        <v>33</v>
      </c>
      <c r="L72" s="40" t="s">
        <v>205</v>
      </c>
      <c r="M72" s="13">
        <v>20</v>
      </c>
      <c r="N72" s="20" t="s">
        <v>205</v>
      </c>
      <c r="O72" s="13" t="s">
        <v>140</v>
      </c>
      <c r="P72" s="13" t="s">
        <v>141</v>
      </c>
      <c r="Q72" s="20" t="s">
        <v>205</v>
      </c>
      <c r="R72" s="13" t="s">
        <v>106</v>
      </c>
      <c r="S72" s="13" t="s">
        <v>38</v>
      </c>
      <c r="T72" s="21"/>
      <c r="U72" s="13">
        <v>0</v>
      </c>
      <c r="V72" s="13">
        <v>0</v>
      </c>
      <c r="W72" s="13">
        <v>0</v>
      </c>
      <c r="X72" s="13" t="s">
        <v>39</v>
      </c>
      <c r="Y72" s="13">
        <v>0</v>
      </c>
      <c r="Z72" s="20" t="s">
        <v>158</v>
      </c>
      <c r="AA72" s="22" t="s">
        <v>72</v>
      </c>
    </row>
    <row r="73" spans="1:27">
      <c r="A73" s="9">
        <v>46</v>
      </c>
      <c r="B73" s="9">
        <v>1</v>
      </c>
      <c r="C73" s="10" t="s">
        <v>206</v>
      </c>
      <c r="D73" s="13" t="s">
        <v>28</v>
      </c>
      <c r="E73" s="13" t="s">
        <v>135</v>
      </c>
      <c r="F73" s="9" t="s">
        <v>136</v>
      </c>
      <c r="G73" s="9" t="s">
        <v>157</v>
      </c>
      <c r="H73" s="9" t="str">
        <f>CONCATENATE(Table1[[#This Row],[LGA]],Table1[[#This Row],[Ward]],Table1[[#This Row],[Settlement]])</f>
        <v>YAKURRINYIMA/EKPETIBA EKPOTO</v>
      </c>
      <c r="I73" s="13">
        <v>45</v>
      </c>
      <c r="J73" s="13" t="s">
        <v>196</v>
      </c>
      <c r="K73" s="13" t="s">
        <v>33</v>
      </c>
      <c r="L73" s="40" t="s">
        <v>158</v>
      </c>
      <c r="M73" s="13">
        <v>20</v>
      </c>
      <c r="N73" s="20" t="s">
        <v>158</v>
      </c>
      <c r="O73" s="13" t="s">
        <v>140</v>
      </c>
      <c r="P73" s="13" t="s">
        <v>141</v>
      </c>
      <c r="Q73" s="20" t="s">
        <v>158</v>
      </c>
      <c r="R73" s="13" t="s">
        <v>106</v>
      </c>
      <c r="S73" s="13" t="s">
        <v>38</v>
      </c>
      <c r="T73" s="21"/>
      <c r="U73" s="13">
        <v>0</v>
      </c>
      <c r="V73" s="13">
        <v>0</v>
      </c>
      <c r="W73" s="13">
        <v>0</v>
      </c>
      <c r="X73" s="13" t="s">
        <v>39</v>
      </c>
      <c r="Y73" s="13">
        <v>0</v>
      </c>
      <c r="Z73" s="20" t="s">
        <v>158</v>
      </c>
      <c r="AA73" s="22" t="s">
        <v>72</v>
      </c>
    </row>
    <row r="74" spans="1:27">
      <c r="A74" s="9">
        <v>47</v>
      </c>
      <c r="B74" s="9">
        <v>1</v>
      </c>
      <c r="C74" s="10" t="s">
        <v>207</v>
      </c>
      <c r="D74" s="13" t="s">
        <v>28</v>
      </c>
      <c r="E74" s="13" t="s">
        <v>135</v>
      </c>
      <c r="F74" s="9" t="s">
        <v>136</v>
      </c>
      <c r="G74" s="9" t="s">
        <v>157</v>
      </c>
      <c r="H74" s="9" t="str">
        <f>CONCATENATE(Table1[[#This Row],[LGA]],Table1[[#This Row],[Ward]],Table1[[#This Row],[Settlement]])</f>
        <v>YAKURRINYIMA/EKPETIBA EKPOTO</v>
      </c>
      <c r="I74" s="13">
        <v>45</v>
      </c>
      <c r="J74" s="13" t="s">
        <v>196</v>
      </c>
      <c r="K74" s="13" t="s">
        <v>33</v>
      </c>
      <c r="L74" s="40" t="s">
        <v>158</v>
      </c>
      <c r="M74" s="13">
        <v>20</v>
      </c>
      <c r="N74" s="20" t="s">
        <v>158</v>
      </c>
      <c r="O74" s="13" t="s">
        <v>140</v>
      </c>
      <c r="P74" s="13" t="s">
        <v>141</v>
      </c>
      <c r="Q74" s="20" t="s">
        <v>158</v>
      </c>
      <c r="R74" s="13" t="s">
        <v>106</v>
      </c>
      <c r="S74" s="13" t="s">
        <v>38</v>
      </c>
      <c r="T74" s="21"/>
      <c r="U74" s="13">
        <v>0</v>
      </c>
      <c r="V74" s="13">
        <v>0</v>
      </c>
      <c r="W74" s="13">
        <v>0</v>
      </c>
      <c r="X74" s="13" t="s">
        <v>39</v>
      </c>
      <c r="Y74" s="13">
        <v>0</v>
      </c>
      <c r="Z74" s="20" t="s">
        <v>158</v>
      </c>
      <c r="AA74" s="22" t="s">
        <v>72</v>
      </c>
    </row>
    <row r="75" spans="1:27" s="49" customFormat="1">
      <c r="A75" s="48">
        <v>45</v>
      </c>
      <c r="B75" s="9">
        <v>1</v>
      </c>
      <c r="C75" s="10" t="s">
        <v>208</v>
      </c>
      <c r="D75" s="13" t="s">
        <v>28</v>
      </c>
      <c r="E75" s="13" t="s">
        <v>135</v>
      </c>
      <c r="F75" s="9" t="s">
        <v>136</v>
      </c>
      <c r="G75" s="9" t="s">
        <v>186</v>
      </c>
      <c r="H75" s="9" t="str">
        <f>CONCATENATE(Table1[[#This Row],[LGA]],Table1[[#This Row],[Ward]],Table1[[#This Row],[Settlement]])</f>
        <v>YAKURRINYIMA/EKPETIBA ESORGOR</v>
      </c>
      <c r="I75" s="13">
        <v>48</v>
      </c>
      <c r="J75" s="13" t="s">
        <v>209</v>
      </c>
      <c r="K75" s="13" t="s">
        <v>50</v>
      </c>
      <c r="L75" s="40" t="s">
        <v>205</v>
      </c>
      <c r="M75" s="13">
        <v>20</v>
      </c>
      <c r="N75" s="20" t="s">
        <v>205</v>
      </c>
      <c r="O75" s="13" t="s">
        <v>140</v>
      </c>
      <c r="P75" s="13" t="s">
        <v>141</v>
      </c>
      <c r="Q75" s="20" t="s">
        <v>205</v>
      </c>
      <c r="R75" s="13" t="s">
        <v>106</v>
      </c>
      <c r="S75" s="13" t="s">
        <v>38</v>
      </c>
      <c r="T75" s="21"/>
      <c r="U75" s="13">
        <v>0</v>
      </c>
      <c r="V75" s="13">
        <v>0</v>
      </c>
      <c r="W75" s="13">
        <v>0</v>
      </c>
      <c r="X75" s="13" t="s">
        <v>39</v>
      </c>
      <c r="Y75" s="13">
        <v>0</v>
      </c>
      <c r="Z75" s="20" t="s">
        <v>158</v>
      </c>
      <c r="AA75" s="22" t="s">
        <v>72</v>
      </c>
    </row>
    <row r="76" spans="1:27" s="39" customFormat="1">
      <c r="A76" s="50">
        <v>53</v>
      </c>
      <c r="B76" s="9">
        <v>1</v>
      </c>
      <c r="C76" s="10" t="s">
        <v>210</v>
      </c>
      <c r="D76" s="13" t="s">
        <v>28</v>
      </c>
      <c r="E76" s="13" t="s">
        <v>135</v>
      </c>
      <c r="F76" s="9" t="s">
        <v>136</v>
      </c>
      <c r="G76" s="9" t="s">
        <v>137</v>
      </c>
      <c r="H76" s="9" t="str">
        <f>CONCATENATE(Table1[[#This Row],[LGA]],Table1[[#This Row],[Ward]],Table1[[#This Row],[Settlement]])</f>
        <v>YAKURRINYIMA/EKPETIBA EKPARA</v>
      </c>
      <c r="I76" s="13">
        <v>52</v>
      </c>
      <c r="J76" s="13" t="s">
        <v>209</v>
      </c>
      <c r="K76" s="13" t="s">
        <v>50</v>
      </c>
      <c r="L76" s="40" t="s">
        <v>158</v>
      </c>
      <c r="M76" s="13">
        <v>20</v>
      </c>
      <c r="N76" s="20" t="s">
        <v>158</v>
      </c>
      <c r="O76" s="13" t="s">
        <v>140</v>
      </c>
      <c r="P76" s="13" t="s">
        <v>141</v>
      </c>
      <c r="Q76" s="20" t="s">
        <v>158</v>
      </c>
      <c r="R76" s="13" t="s">
        <v>106</v>
      </c>
      <c r="S76" s="13" t="s">
        <v>38</v>
      </c>
      <c r="T76" s="21"/>
      <c r="U76" s="13">
        <v>0</v>
      </c>
      <c r="V76" s="13">
        <v>0</v>
      </c>
      <c r="W76" s="13">
        <v>0</v>
      </c>
      <c r="X76" s="13" t="s">
        <v>39</v>
      </c>
      <c r="Y76" s="13">
        <v>0</v>
      </c>
      <c r="Z76" s="20" t="s">
        <v>158</v>
      </c>
      <c r="AA76" s="22" t="s">
        <v>72</v>
      </c>
    </row>
    <row r="77" spans="1:27" s="39" customFormat="1">
      <c r="A77" s="37"/>
      <c r="B77" s="37"/>
      <c r="C77" s="25"/>
      <c r="D77" s="13"/>
      <c r="E77" s="13"/>
      <c r="F77" s="25"/>
      <c r="G77" s="25"/>
      <c r="H77" s="25" t="str">
        <f>CONCATENATE(Table1[[#This Row],[LGA]],Table1[[#This Row],[Ward]],Table1[[#This Row],[Settlement]])</f>
        <v/>
      </c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9"/>
      <c r="U77" s="25"/>
      <c r="V77" s="25"/>
      <c r="W77" s="25"/>
      <c r="X77" s="25"/>
      <c r="Y77" s="25"/>
      <c r="Z77" s="25"/>
      <c r="AA77" s="46"/>
    </row>
    <row r="78" spans="1:27" s="39" customFormat="1">
      <c r="A78" s="37"/>
      <c r="B78" s="37"/>
      <c r="C78" s="25"/>
      <c r="D78" s="13"/>
      <c r="E78" s="13"/>
      <c r="F78" s="25"/>
      <c r="G78" s="25"/>
      <c r="H78" s="25" t="str">
        <f>CONCATENATE(Table1[[#This Row],[LGA]],Table1[[#This Row],[Ward]],Table1[[#This Row],[Settlement]])</f>
        <v/>
      </c>
      <c r="I78" s="25"/>
      <c r="J78" s="25"/>
      <c r="K78" s="25"/>
      <c r="L78" s="25"/>
      <c r="M78" s="25" t="s">
        <v>211</v>
      </c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46"/>
    </row>
    <row r="79" spans="1:27">
      <c r="C79" s="9"/>
      <c r="D79" s="13"/>
      <c r="E79" s="13"/>
      <c r="F79" s="9"/>
      <c r="G79" s="9"/>
      <c r="H79" s="9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 spans="1:27">
      <c r="C80" s="9"/>
      <c r="D80" s="13"/>
      <c r="E80" s="13"/>
      <c r="F80" s="9"/>
      <c r="G80" s="9"/>
      <c r="H80" s="9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 spans="3:27">
      <c r="C81" s="9"/>
      <c r="D81" s="13"/>
      <c r="E81" s="13"/>
      <c r="F81" s="9"/>
      <c r="G81" s="9"/>
      <c r="H81" s="9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 spans="3:27">
      <c r="C82" s="9"/>
      <c r="D82" s="13"/>
      <c r="E82" s="13"/>
      <c r="F82" s="9"/>
      <c r="G82" s="9"/>
      <c r="H82" s="9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 spans="3:27">
      <c r="C83" s="51"/>
    </row>
    <row r="84" spans="3:27">
      <c r="C84" s="51"/>
    </row>
    <row r="85" spans="3:27">
      <c r="C85" s="51"/>
    </row>
    <row r="86" spans="3:27">
      <c r="C86" s="51"/>
    </row>
    <row r="87" spans="3:27">
      <c r="C87" s="51"/>
    </row>
    <row r="88" spans="3:27">
      <c r="C88" s="51"/>
    </row>
    <row r="89" spans="3:27">
      <c r="C89" s="51"/>
    </row>
    <row r="90" spans="3:27">
      <c r="C90" s="51"/>
    </row>
    <row r="91" spans="3:27">
      <c r="C91" s="51"/>
    </row>
    <row r="92" spans="3:27">
      <c r="C92" s="51"/>
    </row>
    <row r="93" spans="3:27">
      <c r="C93" s="51"/>
    </row>
    <row r="94" spans="3:27">
      <c r="C94" s="51"/>
    </row>
    <row r="95" spans="3:27">
      <c r="C95" s="51"/>
    </row>
    <row r="96" spans="3:27">
      <c r="C96" s="51"/>
    </row>
    <row r="97" spans="3:3">
      <c r="C97" s="51"/>
    </row>
    <row r="98" spans="3:3">
      <c r="C98" s="51"/>
    </row>
    <row r="99" spans="3:3">
      <c r="C99" s="51"/>
    </row>
    <row r="100" spans="3:3">
      <c r="C100" s="51"/>
    </row>
    <row r="101" spans="3:3">
      <c r="C101" s="51"/>
    </row>
    <row r="102" spans="3:3">
      <c r="C102" s="51"/>
    </row>
    <row r="103" spans="3:3">
      <c r="C103" s="51"/>
    </row>
    <row r="104" spans="3:3">
      <c r="C104" s="51"/>
    </row>
    <row r="105" spans="3:3">
      <c r="C105" s="51"/>
    </row>
    <row r="106" spans="3:3">
      <c r="C106" s="51"/>
    </row>
    <row r="107" spans="3:3">
      <c r="C107" s="51"/>
    </row>
    <row r="108" spans="3:3">
      <c r="C108" s="51"/>
    </row>
    <row r="109" spans="3:3">
      <c r="C109" s="51"/>
    </row>
    <row r="110" spans="3:3">
      <c r="C110" s="51"/>
    </row>
    <row r="111" spans="3:3">
      <c r="C111" s="51"/>
    </row>
    <row r="112" spans="3:3">
      <c r="C112" s="51"/>
    </row>
    <row r="113" spans="3:3">
      <c r="C113" s="51"/>
    </row>
    <row r="114" spans="3:3">
      <c r="C114" s="51"/>
    </row>
    <row r="115" spans="3:3">
      <c r="C115" s="51"/>
    </row>
    <row r="116" spans="3:3">
      <c r="C116" s="51"/>
    </row>
    <row r="117" spans="3:3">
      <c r="C117" s="51"/>
    </row>
    <row r="118" spans="3:3">
      <c r="C118" s="51"/>
    </row>
    <row r="119" spans="3:3">
      <c r="C119" s="51"/>
    </row>
    <row r="120" spans="3:3">
      <c r="C120" s="51"/>
    </row>
    <row r="121" spans="3:3">
      <c r="C121" s="51"/>
    </row>
    <row r="122" spans="3:3">
      <c r="C122" s="51"/>
    </row>
    <row r="123" spans="3:3">
      <c r="C123" s="51"/>
    </row>
    <row r="124" spans="3:3">
      <c r="C124" s="51"/>
    </row>
    <row r="125" spans="3:3">
      <c r="C125" s="51"/>
    </row>
    <row r="126" spans="3:3">
      <c r="C126" s="51"/>
    </row>
    <row r="127" spans="3:3">
      <c r="C127" s="51"/>
    </row>
    <row r="128" spans="3:3">
      <c r="C128" s="51"/>
    </row>
    <row r="129" spans="3:3">
      <c r="C129" s="51"/>
    </row>
    <row r="130" spans="3:3">
      <c r="C130" s="51"/>
    </row>
    <row r="131" spans="3:3">
      <c r="C131" s="51"/>
    </row>
    <row r="132" spans="3:3">
      <c r="C132" s="51"/>
    </row>
    <row r="133" spans="3:3">
      <c r="C133" s="51"/>
    </row>
    <row r="134" spans="3:3">
      <c r="C134" s="51"/>
    </row>
    <row r="135" spans="3:3">
      <c r="C135" s="51"/>
    </row>
    <row r="136" spans="3:3">
      <c r="C136" s="51"/>
    </row>
    <row r="137" spans="3:3">
      <c r="C137" s="51"/>
    </row>
  </sheetData>
  <conditionalFormatting sqref="A2:B82">
    <cfRule type="duplicateValues" dxfId="24" priority="1" stopIfTrue="1"/>
    <cfRule type="duplicateValues" dxfId="23" priority="2" stopIfTrue="1"/>
  </conditionalFormatting>
  <dataValidations count="1">
    <dataValidation allowBlank="1" showInputMessage="1" showErrorMessage="1" error="Select from the Dropdown List" prompt="Select from the Dropdown List" sqref="W1:X1" xr:uid="{82C7F212-ABE7-482C-B11D-00A8B3594DCF}"/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Rukayat Orire</dc:creator>
  <cp:lastModifiedBy>Jerry Pantuvo</cp:lastModifiedBy>
  <dcterms:created xsi:type="dcterms:W3CDTF">2025-12-09T13:50:56Z</dcterms:created>
  <dcterms:modified xsi:type="dcterms:W3CDTF">2025-12-10T08:23:39Z</dcterms:modified>
</cp:coreProperties>
</file>